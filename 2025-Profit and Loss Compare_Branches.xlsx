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<sst xmlns="http://schemas.openxmlformats.org/spreadsheetml/2006/main" count="96" uniqueCount="96">
  <si>
    <t>Profit and Loss</t>
  </si>
  <si>
    <t>شركة الكوب الاول</t>
  </si>
  <si>
    <t>For the year ended 31 December 2025</t>
  </si>
  <si>
    <t>Account</t>
  </si>
  <si>
    <t>Alsahafa branch</t>
  </si>
  <si>
    <t>Green Coffee</t>
  </si>
  <si>
    <t>Hittin branch</t>
  </si>
  <si>
    <t>RAFA</t>
  </si>
  <si>
    <t>Roasted Coffee</t>
  </si>
  <si>
    <t>Takhassussi- HMG</t>
  </si>
  <si>
    <t>WAW-Brunch</t>
  </si>
  <si>
    <t>Total</t>
  </si>
  <si>
    <t>Trading Income</t>
  </si>
  <si>
    <t>200 - المبيعات/Sales</t>
  </si>
  <si>
    <t>201 - مبيعات القهوة الخضراء</t>
  </si>
  <si>
    <t>202 - مبيعات القهوة المحمصه</t>
  </si>
  <si>
    <t>203 - مبيعات المتجر الكترونى موقع سلة</t>
  </si>
  <si>
    <t>204 - مبيعات خارجية للكفى /External sales of the coffee</t>
  </si>
  <si>
    <t>Total Trading Income</t>
  </si>
  <si>
    <t>Cost of Sales</t>
  </si>
  <si>
    <t>310 - تكلفة البضاعة المباعة/Cost of Goods Sold</t>
  </si>
  <si>
    <t>311 - تكلفة مبيعات القهوة الخضراء</t>
  </si>
  <si>
    <t>312 - تكلفه مبيعات القهوة المحموصه</t>
  </si>
  <si>
    <t>313 - تكلفه مبيعات المتجر الكترونى موقع سلة</t>
  </si>
  <si>
    <t>314 - تكلفه مبيعات المتجر الكترونى موقع جاهز</t>
  </si>
  <si>
    <t>315 - تكلفه مبيعات المتجر الكترونى موقع شيفز</t>
  </si>
  <si>
    <t>316 - تكلفة مواقع النت الاخرى</t>
  </si>
  <si>
    <t>317 - تكلفه مشتريات خارجية</t>
  </si>
  <si>
    <t>318 - رواتب واجور عمالة مستأجرة</t>
  </si>
  <si>
    <t>319 - الرواتب والاجور التشغيلية للفرع</t>
  </si>
  <si>
    <t>320 - ايجار الفرع</t>
  </si>
  <si>
    <t>321 - غاز للحماصة</t>
  </si>
  <si>
    <t>322 - مواد نظافة للفرع</t>
  </si>
  <si>
    <t>323 - مستلزمات واكسسورات للكفى</t>
  </si>
  <si>
    <t>324 - مواد وادوات مستهلكة</t>
  </si>
  <si>
    <t>325 - محروقات وزيوت</t>
  </si>
  <si>
    <t>326 - صيانة عامة للفرع</t>
  </si>
  <si>
    <t>327 - ملابس للعمال</t>
  </si>
  <si>
    <t>328 - تخليص جمركى</t>
  </si>
  <si>
    <t>330 - تكاليف شحن وتفريغ وتوصيل</t>
  </si>
  <si>
    <t>331 - رسوم نقاط البيع</t>
  </si>
  <si>
    <t>332 - مصروفات الدعايا والأعلان/Advertising and advertising expenses</t>
  </si>
  <si>
    <t>333 - مطبوعات وادوات مكتبية</t>
  </si>
  <si>
    <t>334 - مصروفات المياه والكهرباء/Light, Power, Heating</t>
  </si>
  <si>
    <t>335 - مصروفات الهواتف والانترنت</t>
  </si>
  <si>
    <t>336 - ايجار سكن العمال</t>
  </si>
  <si>
    <t>337 - صيانة الالات والاجهزة الكهربائية</t>
  </si>
  <si>
    <t>338 - رسوم تجديد اقامات وكروت عمل</t>
  </si>
  <si>
    <t>339 - اعمال دهانات  للفرع</t>
  </si>
  <si>
    <t>340 - اعمال الزينة والديكورات فى الفرع</t>
  </si>
  <si>
    <t>342 - مفروشات للفرع</t>
  </si>
  <si>
    <t>343 - غاز للجلسات الخارجية</t>
  </si>
  <si>
    <t>344 - مصروفات نفل ولموزينات للموظفين</t>
  </si>
  <si>
    <t>345 - عينات قهوه</t>
  </si>
  <si>
    <t>346 - اعمال الكهرباء والسباكة</t>
  </si>
  <si>
    <t>347 - صيانة وتجهيزات للمستودع</t>
  </si>
  <si>
    <t>348 - ايجار المستودع</t>
  </si>
  <si>
    <t>349 - ايجار معدات والات</t>
  </si>
  <si>
    <t>350 - تجهيزات متنوعة للمناسبات</t>
  </si>
  <si>
    <t>419 - عقود حاويات بلدية ونظافة</t>
  </si>
  <si>
    <t>Total Cost of Sales</t>
  </si>
  <si>
    <t>Gross Profit</t>
  </si>
  <si>
    <t>Other Income</t>
  </si>
  <si>
    <t>261 - ايرادات شحن وتوصيل</t>
  </si>
  <si>
    <t>Total Other Income</t>
  </si>
  <si>
    <t>Operating Expenses</t>
  </si>
  <si>
    <t>400 - رواتب موظفى الادارة</t>
  </si>
  <si>
    <t>401 - مكافأت وخارج دوام للموظفين</t>
  </si>
  <si>
    <t>402 - دورات تدريبية للموظفين</t>
  </si>
  <si>
    <t>403 - بدل تذاكر سفر للموظفين</t>
  </si>
  <si>
    <t>404 - بدل اجازة سنوية للموظفين</t>
  </si>
  <si>
    <t>405 - مصروفات التأمين الطبي/Insurance</t>
  </si>
  <si>
    <t>406 - التامينات الاجتماعية</t>
  </si>
  <si>
    <t>407 - مصروفات سفر وانتداب لموظفى الادارة</t>
  </si>
  <si>
    <t>408 - مصروفات سكن العمال</t>
  </si>
  <si>
    <t>409 - صيانة السيارة</t>
  </si>
  <si>
    <t>410 - رسوم حكومية</t>
  </si>
  <si>
    <t>411 - رسوم فحص العمال للبلدية</t>
  </si>
  <si>
    <t>412 - رسوم خروج وعودة</t>
  </si>
  <si>
    <t>413 - رسوم خدمة بنكية(رواتب-حوالات-..)</t>
  </si>
  <si>
    <t>414 - اتعاب تعقيب</t>
  </si>
  <si>
    <t>416 - مصروفات الأهلاك/Depreciation</t>
  </si>
  <si>
    <t>417 - مصروف ديون مشكوك بتحصيلها</t>
  </si>
  <si>
    <t>420 - مصروفات ضيافة/Entertainment</t>
  </si>
  <si>
    <t>429 - علاج للموظفين</t>
  </si>
  <si>
    <t>449 - تأمين للسيارات</t>
  </si>
  <si>
    <t>451 - تجديد اشتراكات وشحن نقاط</t>
  </si>
  <si>
    <t>452 - اشتركات برامج المبيعات والحسابات</t>
  </si>
  <si>
    <t>453 - مصروفات فوائد القروض/Interest Expense</t>
  </si>
  <si>
    <t>454 - مخالفات وغرامات</t>
  </si>
  <si>
    <t>477 - ضريبة الزكاة والدخل</t>
  </si>
  <si>
    <t>479 - مصروفات نهاية الخدمة /Superannuation</t>
  </si>
  <si>
    <t>489 - مصروفات هاتف وبريد وأنترنت/Telephone &amp; Internet</t>
  </si>
  <si>
    <t>506 - مصروف تمويل القرض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</si>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</sst>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9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78.66015625" customWidth="1"/>
    <col min="2" max="2" width="18.5" customWidth="1"/>
    <col min="3" max="3" width="15.16015625" customWidth="1"/>
    <col min="4" max="4" width="15.66015625" customWidth="1"/>
    <col min="5" max="5" width="12.83203125" customWidth="1"/>
    <col min="6" max="6" width="17" customWidth="1"/>
    <col min="7" max="7" width="21.5" customWidth="1"/>
    <col min="8" max="8" width="16.66015625" customWidth="1"/>
    <col min="9" max="9" width="6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</row>
    <row r="6" ht="13.35" customHeight="true"/>
    <row r="7" ht="12.1" customHeight="true" customFormat="true" s="5">
      <c r="A7" s="8" t="s">
        <v>12</v>
      </c>
      <c r="B7" s="8"/>
      <c r="C7" s="8"/>
      <c r="D7" s="8"/>
      <c r="E7" s="8"/>
      <c r="F7" s="8"/>
      <c r="G7" s="8"/>
      <c r="H7" s="8"/>
      <c r="I7" s="8"/>
    </row>
    <row r="8" ht="10.95" customHeight="true" customFormat="true" s="9">
      <c r="A8" s="10" t="s">
        <v>13</v>
      </c>
      <c r="B8" s="11">
        <v>5239967.9000</v>
      </c>
      <c r="C8" s="11">
        <v>0</v>
      </c>
      <c r="D8" s="11">
        <v>8984514.3000</v>
      </c>
      <c r="E8" s="11">
        <v>2088785.1300</v>
      </c>
      <c r="F8" s="11">
        <v>0</v>
      </c>
      <c r="G8" s="11">
        <v>1176367.1900</v>
      </c>
      <c r="H8" s="11">
        <v>761564.2800</v>
      </c>
      <c r="I8" s="11">
        <f ca="1">((((((((((B8 + 0) + C8) + D8) + 0) + E8) + F8) + G8) + 0) + H8) + 0)</f>
        <v>0</v>
      </c>
    </row>
    <row r="9" ht="10.95" customHeight="true" customFormat="true" s="9">
      <c r="A9" s="12" t="s">
        <v>14</v>
      </c>
      <c r="B9" s="13">
        <v>0</v>
      </c>
      <c r="C9" s="13">
        <v>1262937.3700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f ca="1">((((((((((B9 + 0) + C9) + D9) + 0) + E9) + F9) + G9) + 0) + H9) + 0)</f>
        <v>0</v>
      </c>
    </row>
    <row r="10" ht="10.95" customHeight="true" customFormat="true" s="9">
      <c r="A10" s="12" t="s">
        <v>15</v>
      </c>
      <c r="B10" s="13">
        <v>0</v>
      </c>
      <c r="C10" s="13">
        <v>0</v>
      </c>
      <c r="D10" s="13">
        <v>0</v>
      </c>
      <c r="E10" s="13">
        <v>0</v>
      </c>
      <c r="F10" s="13">
        <v>374980.4900</v>
      </c>
      <c r="G10" s="13">
        <v>0</v>
      </c>
      <c r="H10" s="13">
        <v>0</v>
      </c>
      <c r="I10" s="13">
        <f ca="1">((((((((((B10 + 0) + C10) + D10) + 0) + E10) + F10) + G10) + 0) + H10) + 0)</f>
        <v>0</v>
      </c>
    </row>
    <row r="11" ht="10.95" customHeight="true" customFormat="true" s="9">
      <c r="A11" s="12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41619.7800</v>
      </c>
      <c r="G11" s="13">
        <v>0</v>
      </c>
      <c r="H11" s="13">
        <v>0</v>
      </c>
      <c r="I11" s="13">
        <f ca="1">((((((((((B11 + 0) + C11) + D11) + 0) + E11) + F11) + G11) + 0) + H11) + 0)</f>
        <v>0</v>
      </c>
    </row>
    <row r="12" ht="10.95" customHeight="true" customFormat="true" s="9">
      <c r="A12" s="12" t="s">
        <v>17</v>
      </c>
      <c r="B12" s="13">
        <v>8626.0900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f ca="1">((((((((((B12 + 0) + C12) + D12) + 0) + E12) + F12) + G12) + 0) + H12) + 0)</f>
        <v>0</v>
      </c>
    </row>
    <row r="13" ht="10.95" customHeight="true" customFormat="true" s="9">
      <c r="A13" s="14" t="s">
        <v>18</v>
      </c>
      <c r="B13" s="15">
        <f ca="1">SUM(B8:B12)</f>
        <v>0</v>
      </c>
      <c r="C13" s="15">
        <f ca="1">SUM(C8:C12)</f>
        <v>0</v>
      </c>
      <c r="D13" s="15">
        <f ca="1">SUM(D8:D12)</f>
        <v>0</v>
      </c>
      <c r="E13" s="15">
        <f ca="1">SUM(E8:E12)</f>
        <v>0</v>
      </c>
      <c r="F13" s="15">
        <f ca="1">SUM(F8:F12)</f>
        <v>0</v>
      </c>
      <c r="G13" s="15">
        <f ca="1">SUM(G8:G12)</f>
        <v>0</v>
      </c>
      <c r="H13" s="15">
        <f ca="1">SUM(H8:H12)</f>
        <v>0</v>
      </c>
      <c r="I13" s="15">
        <f ca="1">((((((((((B13 + 0) + C13) + D13) + 0) + E13) + F13) + G13) + 0) + H13) + 0)</f>
        <v>0</v>
      </c>
    </row>
    <row r="14" ht="13.35" customHeight="true"/>
    <row r="15" ht="12.1" customHeight="true" customFormat="true" s="5">
      <c r="A15" s="8" t="s">
        <v>19</v>
      </c>
      <c r="B15" s="8"/>
      <c r="C15" s="8"/>
      <c r="D15" s="8"/>
      <c r="E15" s="8"/>
      <c r="F15" s="8"/>
      <c r="G15" s="8"/>
      <c r="H15" s="8"/>
      <c r="I15" s="8"/>
    </row>
    <row r="16" ht="10.95" customHeight="true" customFormat="true" s="9">
      <c r="A16" s="10" t="s">
        <v>20</v>
      </c>
      <c r="B16" s="11">
        <v>1459564.1700</v>
      </c>
      <c r="C16" s="11">
        <v>0</v>
      </c>
      <c r="D16" s="11">
        <v>2228497.2000</v>
      </c>
      <c r="E16" s="11">
        <v>506790.4700</v>
      </c>
      <c r="F16" s="11">
        <v>1650.0400</v>
      </c>
      <c r="G16" s="11">
        <v>353608.8100</v>
      </c>
      <c r="H16" s="11">
        <v>165250.8300</v>
      </c>
      <c r="I16" s="11">
        <f ca="1">((((((((((B16 + 0) + C16) + D16) + 0) + E16) + F16) + G16) + 0) + H16) + 0)</f>
        <v>0</v>
      </c>
    </row>
    <row r="17" ht="10.95" customHeight="true" customFormat="true" s="9">
      <c r="A17" s="12" t="s">
        <v>21</v>
      </c>
      <c r="B17" s="13">
        <v>0</v>
      </c>
      <c r="C17" s="13">
        <v>832716.7400</v>
      </c>
      <c r="D17" s="13">
        <v>0</v>
      </c>
      <c r="E17" s="13">
        <v>0</v>
      </c>
      <c r="F17" s="13">
        <v>1103.5300</v>
      </c>
      <c r="G17" s="13">
        <v>0</v>
      </c>
      <c r="H17" s="13">
        <v>0</v>
      </c>
      <c r="I17" s="13">
        <f ca="1">((((((((((B17 + 0) + C17) + D17) + 0) + E17) + F17) + G17) + 0) + H17) + 0)</f>
        <v>0</v>
      </c>
    </row>
    <row r="18" ht="10.95" customHeight="true" customFormat="true" s="9">
      <c r="A18" s="12" t="s">
        <v>22</v>
      </c>
      <c r="B18" s="13">
        <v>0</v>
      </c>
      <c r="C18" s="13">
        <v>0</v>
      </c>
      <c r="D18" s="13">
        <v>0</v>
      </c>
      <c r="E18" s="13">
        <v>0</v>
      </c>
      <c r="F18" s="13">
        <v>138983.1100</v>
      </c>
      <c r="G18" s="13">
        <v>0</v>
      </c>
      <c r="H18" s="13">
        <v>0</v>
      </c>
      <c r="I18" s="13">
        <f ca="1">((((((((((B18 + 0) + C18) + D18) + 0) + E18) + F18) + G18) + 0) + H18) + 0)</f>
        <v>0</v>
      </c>
    </row>
    <row r="19" ht="10.95" customHeight="true" customFormat="true" s="9">
      <c r="A19" s="12" t="s">
        <v>23</v>
      </c>
      <c r="B19" s="13">
        <v>0</v>
      </c>
      <c r="C19" s="13">
        <v>0</v>
      </c>
      <c r="D19" s="13">
        <v>626.4000</v>
      </c>
      <c r="E19" s="13">
        <v>0</v>
      </c>
      <c r="F19" s="13">
        <v>8302.3300</v>
      </c>
      <c r="G19" s="13">
        <v>0</v>
      </c>
      <c r="H19" s="13">
        <v>0</v>
      </c>
      <c r="I19" s="13">
        <f ca="1">((((((((((B19 + 0) + C19) + D19) + 0) + E19) + F19) + G19) + 0) + H19) + 0)</f>
        <v>0</v>
      </c>
    </row>
    <row r="20" ht="10.95" customHeight="true" customFormat="true" s="9">
      <c r="A20" s="12" t="s">
        <v>24</v>
      </c>
      <c r="B20" s="13">
        <v>0</v>
      </c>
      <c r="C20" s="13">
        <v>0</v>
      </c>
      <c r="D20" s="13">
        <v>3482.9000</v>
      </c>
      <c r="E20" s="13">
        <v>4683.2900</v>
      </c>
      <c r="F20" s="13">
        <v>0</v>
      </c>
      <c r="G20" s="13">
        <v>0</v>
      </c>
      <c r="H20" s="13">
        <v>0</v>
      </c>
      <c r="I20" s="13">
        <f ca="1">((((((((((B20 + 0) + C20) + D20) + 0) + E20) + F20) + G20) + 0) + H20) + 0)</f>
        <v>0</v>
      </c>
    </row>
    <row r="21" ht="10.95" customHeight="true" customFormat="true" s="9">
      <c r="A21" s="12" t="s">
        <v>25</v>
      </c>
      <c r="B21" s="13">
        <v>0</v>
      </c>
      <c r="C21" s="13">
        <v>0</v>
      </c>
      <c r="D21" s="13">
        <v>0</v>
      </c>
      <c r="E21" s="13">
        <v>2504.2700</v>
      </c>
      <c r="F21" s="13">
        <v>0</v>
      </c>
      <c r="G21" s="13">
        <v>0</v>
      </c>
      <c r="H21" s="13">
        <v>0</v>
      </c>
      <c r="I21" s="13">
        <f ca="1">((((((((((B21 + 0) + C21) + D21) + 0) + E21) + F21) + G21) + 0) + H21) + 0)</f>
        <v>0</v>
      </c>
    </row>
    <row r="22" ht="10.95" customHeight="true" customFormat="true" s="9">
      <c r="A22" s="12" t="s">
        <v>26</v>
      </c>
      <c r="B22" s="13">
        <v>49.1500</v>
      </c>
      <c r="C22" s="13">
        <v>0</v>
      </c>
      <c r="D22" s="13">
        <v>384.0800</v>
      </c>
      <c r="E22" s="13">
        <v>0</v>
      </c>
      <c r="F22" s="13">
        <v>0</v>
      </c>
      <c r="G22" s="13">
        <v>40.9300</v>
      </c>
      <c r="H22" s="13">
        <v>0</v>
      </c>
      <c r="I22" s="13">
        <f ca="1">((((((((((B22 + 0) + C22) + D22) + 0) + E22) + F22) + G22) + 0) + H22) + 0)</f>
        <v>0</v>
      </c>
    </row>
    <row r="23" ht="10.95" customHeight="true" customFormat="true" s="9">
      <c r="A23" s="12" t="s">
        <v>27</v>
      </c>
      <c r="B23" s="13">
        <v>20396.8800</v>
      </c>
      <c r="C23" s="13">
        <v>0</v>
      </c>
      <c r="D23" s="13">
        <v>65080.2200</v>
      </c>
      <c r="E23" s="13">
        <v>10514.8200</v>
      </c>
      <c r="F23" s="13">
        <v>0</v>
      </c>
      <c r="G23" s="13">
        <v>2685.6700</v>
      </c>
      <c r="H23" s="13">
        <v>3558.4500</v>
      </c>
      <c r="I23" s="13">
        <f ca="1">((((((((((B23 + 0) + C23) + D23) + 0) + E23) + F23) + G23) + 0) + H23) + 0)</f>
        <v>0</v>
      </c>
    </row>
    <row r="24" ht="10.95" customHeight="true" customFormat="true" s="9">
      <c r="A24" s="12" t="s">
        <v>28</v>
      </c>
      <c r="B24" s="13">
        <v>145784.0000</v>
      </c>
      <c r="C24" s="13">
        <v>0</v>
      </c>
      <c r="D24" s="13">
        <v>277710.0000</v>
      </c>
      <c r="E24" s="13">
        <v>232239.0000</v>
      </c>
      <c r="F24" s="13">
        <v>0</v>
      </c>
      <c r="G24" s="13">
        <v>29240.0000</v>
      </c>
      <c r="H24" s="13">
        <v>66520.0000</v>
      </c>
      <c r="I24" s="13">
        <f ca="1">((((((((((B24 + 0) + C24) + D24) + 0) + E24) + F24) + G24) + 0) + H24) + 0)</f>
        <v>0</v>
      </c>
    </row>
    <row r="25" ht="10.95" customHeight="true" customFormat="true" s="9">
      <c r="A25" s="12" t="s">
        <v>29</v>
      </c>
      <c r="B25" s="13">
        <v>193006.0000</v>
      </c>
      <c r="C25" s="13">
        <v>0</v>
      </c>
      <c r="D25" s="13">
        <v>464813.6700</v>
      </c>
      <c r="E25" s="13">
        <v>83844.0000</v>
      </c>
      <c r="F25" s="13">
        <v>0</v>
      </c>
      <c r="G25" s="13">
        <v>153850.0000</v>
      </c>
      <c r="H25" s="13">
        <v>13260.0000</v>
      </c>
      <c r="I25" s="13">
        <f ca="1">((((((((((B25 + 0) + C25) + D25) + 0) + E25) + F25) + G25) + 0) + H25) + 0)</f>
        <v>0</v>
      </c>
    </row>
    <row r="26" ht="10.95" customHeight="true" customFormat="true" s="9">
      <c r="A26" s="12" t="s">
        <v>30</v>
      </c>
      <c r="B26" s="13">
        <v>628056.0000</v>
      </c>
      <c r="C26" s="13">
        <v>0</v>
      </c>
      <c r="D26" s="13">
        <v>400000.0000</v>
      </c>
      <c r="E26" s="13">
        <v>300000.0000</v>
      </c>
      <c r="F26" s="13">
        <v>0</v>
      </c>
      <c r="G26" s="13">
        <v>317975.3400</v>
      </c>
      <c r="H26" s="13">
        <v>142060.5300</v>
      </c>
      <c r="I26" s="13">
        <f ca="1">((((((((((B26 + 0) + C26) + D26) + 0) + E26) + F26) + G26) + 0) + H26) + 0)</f>
        <v>0</v>
      </c>
    </row>
    <row r="27" ht="10.95" customHeight="true" customFormat="true" s="9">
      <c r="A27" s="12" t="s">
        <v>31</v>
      </c>
      <c r="B27" s="13">
        <v>0</v>
      </c>
      <c r="C27" s="13">
        <v>0</v>
      </c>
      <c r="D27" s="13">
        <v>0</v>
      </c>
      <c r="E27" s="13">
        <v>0</v>
      </c>
      <c r="F27" s="13">
        <v>1673.5200</v>
      </c>
      <c r="G27" s="13">
        <v>0</v>
      </c>
      <c r="H27" s="13">
        <v>0</v>
      </c>
      <c r="I27" s="13">
        <f ca="1">((((((((((B27 + 0) + C27) + D27) + 0) + E27) + F27) + G27) + 0) + H27) + 0)</f>
        <v>0</v>
      </c>
    </row>
    <row r="28" ht="10.95" customHeight="true" customFormat="true" s="9">
      <c r="A28" s="12" t="s">
        <v>32</v>
      </c>
      <c r="B28" s="13">
        <v>3759.8000</v>
      </c>
      <c r="C28" s="13">
        <v>0</v>
      </c>
      <c r="D28" s="13">
        <v>11094.6000</v>
      </c>
      <c r="E28" s="13">
        <v>3383.7200</v>
      </c>
      <c r="F28" s="13">
        <v>0</v>
      </c>
      <c r="G28" s="13">
        <v>1393.1000</v>
      </c>
      <c r="H28" s="13">
        <v>375.9000</v>
      </c>
      <c r="I28" s="13">
        <f ca="1">((((((((((B28 + 0) + C28) + D28) + 0) + E28) + F28) + G28) + 0) + H28) + 0)</f>
        <v>0</v>
      </c>
    </row>
    <row r="29" ht="10.95" customHeight="true" customFormat="true" s="9">
      <c r="A29" s="12" t="s">
        <v>33</v>
      </c>
      <c r="B29" s="13">
        <v>13678.5100</v>
      </c>
      <c r="C29" s="13">
        <v>0</v>
      </c>
      <c r="D29" s="13">
        <v>31113.2300</v>
      </c>
      <c r="E29" s="13">
        <v>6064.1600</v>
      </c>
      <c r="F29" s="13">
        <v>0</v>
      </c>
      <c r="G29" s="13">
        <v>7392.3200</v>
      </c>
      <c r="H29" s="13">
        <v>89.9500</v>
      </c>
      <c r="I29" s="13">
        <f ca="1">((((((((((B29 + 0) + C29) + D29) + 0) + E29) + F29) + G29) + 0) + H29) + 0)</f>
        <v>0</v>
      </c>
    </row>
    <row r="30" ht="10.95" customHeight="true" customFormat="true" s="9">
      <c r="A30" s="12" t="s">
        <v>34</v>
      </c>
      <c r="B30" s="13">
        <v>450.1000</v>
      </c>
      <c r="C30" s="13">
        <v>75.0000</v>
      </c>
      <c r="D30" s="13">
        <v>4813.0200</v>
      </c>
      <c r="E30" s="13">
        <v>664.8000</v>
      </c>
      <c r="F30" s="13">
        <v>1810.3000</v>
      </c>
      <c r="G30" s="13">
        <v>530.7500</v>
      </c>
      <c r="H30" s="13">
        <v>134.7500</v>
      </c>
      <c r="I30" s="13">
        <f ca="1">((((((((((B30 + 0) + C30) + D30) + 0) + E30) + F30) + G30) + 0) + H30) + 0)</f>
        <v>0</v>
      </c>
    </row>
    <row r="31" ht="10.95" customHeight="true" customFormat="true" s="9">
      <c r="A31" s="12" t="s">
        <v>35</v>
      </c>
      <c r="B31" s="13">
        <v>3760.5800</v>
      </c>
      <c r="C31" s="13">
        <v>4210.2000</v>
      </c>
      <c r="D31" s="13">
        <v>4982.2400</v>
      </c>
      <c r="E31" s="13">
        <v>2784.2800</v>
      </c>
      <c r="F31" s="13">
        <v>4578.4400</v>
      </c>
      <c r="G31" s="13">
        <v>2612.2900</v>
      </c>
      <c r="H31" s="13">
        <v>2843.1400</v>
      </c>
      <c r="I31" s="13">
        <f ca="1">((((((((((B31 + 0) + C31) + D31) + 0) + E31) + F31) + G31) + 0) + H31) + 0)</f>
        <v>0</v>
      </c>
    </row>
    <row r="32" ht="10.95" customHeight="true" customFormat="true" s="9">
      <c r="A32" s="12" t="s">
        <v>36</v>
      </c>
      <c r="B32" s="13">
        <v>4878.1400</v>
      </c>
      <c r="C32" s="13">
        <v>0</v>
      </c>
      <c r="D32" s="13">
        <v>42241.7700</v>
      </c>
      <c r="E32" s="13">
        <v>5934.8000</v>
      </c>
      <c r="F32" s="13">
        <v>0</v>
      </c>
      <c r="G32" s="13">
        <v>3199.2900</v>
      </c>
      <c r="H32" s="13">
        <v>911.0900</v>
      </c>
      <c r="I32" s="13">
        <f ca="1">((((((((((B32 + 0) + C32) + D32) + 0) + E32) + F32) + G32) + 0) + H32) + 0)</f>
        <v>0</v>
      </c>
    </row>
    <row r="33" ht="10.95" customHeight="true" customFormat="true" s="9">
      <c r="A33" s="12" t="s">
        <v>37</v>
      </c>
      <c r="B33" s="13">
        <v>1329.9600</v>
      </c>
      <c r="C33" s="13">
        <v>807.0000</v>
      </c>
      <c r="D33" s="13">
        <v>1296.2100</v>
      </c>
      <c r="E33" s="13">
        <v>577.0000</v>
      </c>
      <c r="F33" s="13">
        <v>700.0000</v>
      </c>
      <c r="G33" s="13">
        <v>34.0000</v>
      </c>
      <c r="H33" s="13">
        <v>176.0000</v>
      </c>
      <c r="I33" s="13">
        <f ca="1">((((((((((B33 + 0) + C33) + D33) + 0) + E33) + F33) + G33) + 0) + H33) + 0)</f>
        <v>0</v>
      </c>
    </row>
    <row r="34" ht="10.95" customHeight="true" customFormat="true" s="9">
      <c r="A34" s="12" t="s">
        <v>38</v>
      </c>
      <c r="B34" s="13">
        <v>0</v>
      </c>
      <c r="C34" s="13">
        <v>61195.9500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f ca="1">((((((((((B34 + 0) + C34) + D34) + 0) + E34) + F34) + G34) + 0) + H34) + 0)</f>
        <v>0</v>
      </c>
    </row>
    <row r="35" ht="10.95" customHeight="true" customFormat="true" s="9">
      <c r="A35" s="12" t="s">
        <v>39</v>
      </c>
      <c r="B35" s="13">
        <v>1595.0000</v>
      </c>
      <c r="C35" s="13">
        <v>30487.3600</v>
      </c>
      <c r="D35" s="13">
        <v>5417.0000</v>
      </c>
      <c r="E35" s="13">
        <v>1120.0000</v>
      </c>
      <c r="F35" s="13">
        <v>330.8800</v>
      </c>
      <c r="G35" s="13">
        <v>1106.9600</v>
      </c>
      <c r="H35" s="13">
        <v>920.0000</v>
      </c>
      <c r="I35" s="13">
        <f ca="1">((((((((((B35 + 0) + C35) + D35) + 0) + E35) + F35) + G35) + 0) + H35) + 0)</f>
        <v>0</v>
      </c>
    </row>
    <row r="36" ht="10.95" customHeight="true" customFormat="true" s="9">
      <c r="A36" s="12" t="s">
        <v>40</v>
      </c>
      <c r="B36" s="13">
        <v>50912.5500</v>
      </c>
      <c r="C36" s="13">
        <v>0</v>
      </c>
      <c r="D36" s="13">
        <v>87312.7200</v>
      </c>
      <c r="E36" s="13">
        <v>35599.2500</v>
      </c>
      <c r="F36" s="13">
        <v>0</v>
      </c>
      <c r="G36" s="13">
        <v>29571.0700</v>
      </c>
      <c r="H36" s="13">
        <v>35253.0800</v>
      </c>
      <c r="I36" s="13">
        <f ca="1">((((((((((B36 + 0) + C36) + D36) + 0) + E36) + F36) + G36) + 0) + H36) + 0)</f>
        <v>0</v>
      </c>
    </row>
    <row r="37" ht="10.95" customHeight="true" customFormat="true" s="9">
      <c r="A37" s="12" t="s">
        <v>41</v>
      </c>
      <c r="B37" s="13">
        <v>2100.0000</v>
      </c>
      <c r="C37" s="13">
        <v>0</v>
      </c>
      <c r="D37" s="13">
        <v>5400.0000</v>
      </c>
      <c r="E37" s="13">
        <v>1000.0000</v>
      </c>
      <c r="F37" s="13">
        <v>665.1500</v>
      </c>
      <c r="G37" s="13">
        <v>1000.0000</v>
      </c>
      <c r="H37" s="13">
        <v>1000.0000</v>
      </c>
      <c r="I37" s="13">
        <f ca="1">((((((((((B37 + 0) + C37) + D37) + 0) + E37) + F37) + G37) + 0) + H37) + 0)</f>
        <v>0</v>
      </c>
    </row>
    <row r="38" ht="10.95" customHeight="true" customFormat="true" s="9">
      <c r="A38" s="12" t="s">
        <v>42</v>
      </c>
      <c r="B38" s="13">
        <v>4569.5200</v>
      </c>
      <c r="C38" s="13">
        <v>380.0000</v>
      </c>
      <c r="D38" s="13">
        <v>3569.1900</v>
      </c>
      <c r="E38" s="13">
        <v>2144.0600</v>
      </c>
      <c r="F38" s="13">
        <v>709.0000</v>
      </c>
      <c r="G38" s="13">
        <v>1419.0400</v>
      </c>
      <c r="H38" s="13">
        <v>1438.0400</v>
      </c>
      <c r="I38" s="13">
        <f ca="1">((((((((((B38 + 0) + C38) + D38) + 0) + E38) + F38) + G38) + 0) + H38) + 0)</f>
        <v>0</v>
      </c>
    </row>
    <row r="39" ht="10.95" customHeight="true" customFormat="true" s="9">
      <c r="A39" s="12" t="s">
        <v>43</v>
      </c>
      <c r="B39" s="13">
        <v>0</v>
      </c>
      <c r="C39" s="13">
        <v>4031.3900</v>
      </c>
      <c r="D39" s="13">
        <v>33210.9400</v>
      </c>
      <c r="E39" s="13">
        <v>0</v>
      </c>
      <c r="F39" s="13">
        <v>806.9800</v>
      </c>
      <c r="G39" s="13">
        <v>0</v>
      </c>
      <c r="H39" s="13">
        <v>0</v>
      </c>
      <c r="I39" s="13">
        <f ca="1">((((((((((B39 + 0) + C39) + D39) + 0) + E39) + F39) + G39) + 0) + H39) + 0)</f>
        <v>0</v>
      </c>
    </row>
    <row r="40" ht="10.95" customHeight="true" customFormat="true" s="9">
      <c r="A40" s="12" t="s">
        <v>44</v>
      </c>
      <c r="B40" s="13">
        <v>2287.7400</v>
      </c>
      <c r="C40" s="13">
        <v>469.2500</v>
      </c>
      <c r="D40" s="13">
        <v>14583.2700</v>
      </c>
      <c r="E40" s="13">
        <v>2999.0000</v>
      </c>
      <c r="F40" s="13">
        <v>1035.0000</v>
      </c>
      <c r="G40" s="13">
        <v>1148.0000</v>
      </c>
      <c r="H40" s="13">
        <v>200.0000</v>
      </c>
      <c r="I40" s="13">
        <f ca="1">((((((((((B40 + 0) + C40) + D40) + 0) + E40) + F40) + G40) + 0) + H40) + 0)</f>
        <v>0</v>
      </c>
    </row>
    <row r="41" ht="10.95" customHeight="true" customFormat="true" s="9">
      <c r="A41" s="12" t="s">
        <v>45</v>
      </c>
      <c r="B41" s="13">
        <v>10249.5700</v>
      </c>
      <c r="C41" s="13">
        <v>0</v>
      </c>
      <c r="D41" s="13">
        <v>10251.7400</v>
      </c>
      <c r="E41" s="13">
        <v>10249.5700</v>
      </c>
      <c r="F41" s="13">
        <v>0</v>
      </c>
      <c r="G41" s="13">
        <v>10249.5700</v>
      </c>
      <c r="H41" s="13">
        <v>10249.5700</v>
      </c>
      <c r="I41" s="13">
        <f ca="1">((((((((((B41 + 0) + C41) + D41) + 0) + E41) + F41) + G41) + 0) + H41) + 0)</f>
        <v>0</v>
      </c>
    </row>
    <row r="42" ht="10.95" customHeight="true" customFormat="true" s="9">
      <c r="A42" s="12" t="s">
        <v>46</v>
      </c>
      <c r="B42" s="13">
        <v>100.0000</v>
      </c>
      <c r="C42" s="13">
        <v>0</v>
      </c>
      <c r="D42" s="13">
        <v>11306.4700</v>
      </c>
      <c r="E42" s="13">
        <v>2419.7800</v>
      </c>
      <c r="F42" s="13">
        <v>5467.3900</v>
      </c>
      <c r="G42" s="13">
        <v>4004.3500</v>
      </c>
      <c r="H42" s="13">
        <v>3951.1500</v>
      </c>
      <c r="I42" s="13">
        <f ca="1">((((((((((B42 + 0) + C42) + D42) + 0) + E42) + F42) + G42) + 0) + H42) + 0)</f>
        <v>0</v>
      </c>
    </row>
    <row r="43" ht="10.95" customHeight="true" customFormat="true" s="9">
      <c r="A43" s="12" t="s">
        <v>47</v>
      </c>
      <c r="B43" s="13">
        <v>18278.0000</v>
      </c>
      <c r="C43" s="13">
        <v>0</v>
      </c>
      <c r="D43" s="13">
        <v>77525.0000</v>
      </c>
      <c r="E43" s="13">
        <v>30578.0000</v>
      </c>
      <c r="F43" s="13">
        <v>0</v>
      </c>
      <c r="G43" s="13">
        <v>25053.0000</v>
      </c>
      <c r="H43" s="13">
        <v>17716.0000</v>
      </c>
      <c r="I43" s="13">
        <f ca="1">((((((((((B43 + 0) + C43) + D43) + 0) + E43) + F43) + G43) + 0) + H43) + 0)</f>
        <v>0</v>
      </c>
    </row>
    <row r="44" ht="10.95" customHeight="true" customFormat="true" s="9">
      <c r="A44" s="12" t="s">
        <v>48</v>
      </c>
      <c r="B44" s="13">
        <v>0</v>
      </c>
      <c r="C44" s="13">
        <v>0</v>
      </c>
      <c r="D44" s="13">
        <v>3734.5900</v>
      </c>
      <c r="E44" s="13">
        <v>0</v>
      </c>
      <c r="F44" s="13">
        <v>0</v>
      </c>
      <c r="G44" s="13">
        <v>0</v>
      </c>
      <c r="H44" s="13">
        <v>0</v>
      </c>
      <c r="I44" s="13">
        <f ca="1">((((((((((B44 + 0) + C44) + D44) + 0) + E44) + F44) + G44) + 0) + H44) + 0)</f>
        <v>0</v>
      </c>
    </row>
    <row r="45" ht="10.95" customHeight="true" customFormat="true" s="9">
      <c r="A45" s="12" t="s">
        <v>49</v>
      </c>
      <c r="B45" s="13">
        <v>0</v>
      </c>
      <c r="C45" s="13">
        <v>0</v>
      </c>
      <c r="D45" s="13">
        <v>11529.2300</v>
      </c>
      <c r="E45" s="13">
        <v>2700.0000</v>
      </c>
      <c r="F45" s="13">
        <v>0</v>
      </c>
      <c r="G45" s="13">
        <v>682.3900</v>
      </c>
      <c r="H45" s="13">
        <v>0</v>
      </c>
      <c r="I45" s="13">
        <f ca="1">((((((((((B45 + 0) + C45) + D45) + 0) + E45) + F45) + G45) + 0) + H45) + 0)</f>
        <v>0</v>
      </c>
    </row>
    <row r="46" ht="10.95" customHeight="true" customFormat="true" s="9">
      <c r="A46" s="12" t="s">
        <v>50</v>
      </c>
      <c r="B46" s="13">
        <v>0</v>
      </c>
      <c r="C46" s="13">
        <v>0</v>
      </c>
      <c r="D46" s="13">
        <v>10123.9500</v>
      </c>
      <c r="E46" s="13">
        <v>0</v>
      </c>
      <c r="F46" s="13">
        <v>0</v>
      </c>
      <c r="G46" s="13">
        <v>695.6500</v>
      </c>
      <c r="H46" s="13">
        <v>0</v>
      </c>
      <c r="I46" s="13">
        <f ca="1">((((((((((B46 + 0) + C46) + D46) + 0) + E46) + F46) + G46) + 0) + H46) + 0)</f>
        <v>0</v>
      </c>
    </row>
    <row r="47" ht="10.95" customHeight="true" customFormat="true" s="9">
      <c r="A47" s="12" t="s">
        <v>51</v>
      </c>
      <c r="B47" s="13">
        <v>0</v>
      </c>
      <c r="C47" s="13">
        <v>0</v>
      </c>
      <c r="D47" s="13">
        <v>15264.0000</v>
      </c>
      <c r="E47" s="13">
        <v>3354.0000</v>
      </c>
      <c r="F47" s="13">
        <v>0</v>
      </c>
      <c r="G47" s="13">
        <v>0</v>
      </c>
      <c r="H47" s="13">
        <v>0</v>
      </c>
      <c r="I47" s="13">
        <f ca="1">((((((((((B47 + 0) + C47) + D47) + 0) + E47) + F47) + G47) + 0) + H47) + 0)</f>
        <v>0</v>
      </c>
    </row>
    <row r="48" ht="10.95" customHeight="true" customFormat="true" s="9">
      <c r="A48" s="12" t="s">
        <v>52</v>
      </c>
      <c r="B48" s="13">
        <v>180.0000</v>
      </c>
      <c r="C48" s="13">
        <v>0</v>
      </c>
      <c r="D48" s="13">
        <v>74.0000</v>
      </c>
      <c r="E48" s="13">
        <v>339.0900</v>
      </c>
      <c r="F48" s="13">
        <v>25.0000</v>
      </c>
      <c r="G48" s="13">
        <v>247.6800</v>
      </c>
      <c r="H48" s="13">
        <v>50.0000</v>
      </c>
      <c r="I48" s="13">
        <f ca="1">((((((((((B48 + 0) + C48) + D48) + 0) + E48) + F48) + G48) + 0) + H48) + 0)</f>
        <v>0</v>
      </c>
    </row>
    <row r="49" ht="10.95" customHeight="true" customFormat="true" s="9">
      <c r="A49" s="12" t="s">
        <v>53</v>
      </c>
      <c r="B49" s="13">
        <v>0</v>
      </c>
      <c r="C49" s="13">
        <v>-235.5300</v>
      </c>
      <c r="D49" s="13">
        <v>0</v>
      </c>
      <c r="E49" s="13">
        <v>0</v>
      </c>
      <c r="F49" s="13">
        <v>5621.3500</v>
      </c>
      <c r="G49" s="13">
        <v>0</v>
      </c>
      <c r="H49" s="13">
        <v>0</v>
      </c>
      <c r="I49" s="13">
        <f ca="1">((((((((((B49 + 0) + C49) + D49) + 0) + E49) + F49) + G49) + 0) + H49) + 0)</f>
        <v>0</v>
      </c>
    </row>
    <row r="50" ht="10.95" customHeight="true" customFormat="true" s="9">
      <c r="A50" s="12" t="s">
        <v>54</v>
      </c>
      <c r="B50" s="13">
        <v>206.0000</v>
      </c>
      <c r="C50" s="13">
        <v>944.1700</v>
      </c>
      <c r="D50" s="13">
        <v>7836.5200</v>
      </c>
      <c r="E50" s="13">
        <v>0</v>
      </c>
      <c r="F50" s="13">
        <v>0</v>
      </c>
      <c r="G50" s="13">
        <v>0</v>
      </c>
      <c r="H50" s="13">
        <v>0</v>
      </c>
      <c r="I50" s="13">
        <f ca="1">((((((((((B50 + 0) + C50) + D50) + 0) + E50) + F50) + G50) + 0) + H50) + 0)</f>
        <v>0</v>
      </c>
    </row>
    <row r="51" ht="10.95" customHeight="true" customFormat="true" s="9">
      <c r="A51" s="12" t="s">
        <v>55</v>
      </c>
      <c r="B51" s="13">
        <v>6077.1500</v>
      </c>
      <c r="C51" s="13">
        <v>4362.1500</v>
      </c>
      <c r="D51" s="13">
        <v>8231.1400</v>
      </c>
      <c r="E51" s="13">
        <v>2857.1400</v>
      </c>
      <c r="F51" s="13">
        <v>4007.3800</v>
      </c>
      <c r="G51" s="13">
        <v>2462.1400</v>
      </c>
      <c r="H51" s="13">
        <v>2462.1400</v>
      </c>
      <c r="I51" s="13">
        <f ca="1">((((((((((B51 + 0) + C51) + D51) + 0) + E51) + F51) + G51) + 0) + H51) + 0)</f>
        <v>0</v>
      </c>
    </row>
    <row r="52" ht="10.95" customHeight="true" customFormat="true" s="9">
      <c r="A52" s="12" t="s">
        <v>56</v>
      </c>
      <c r="B52" s="13">
        <v>0</v>
      </c>
      <c r="C52" s="13">
        <v>91500.0000</v>
      </c>
      <c r="D52" s="13">
        <v>0</v>
      </c>
      <c r="E52" s="13">
        <v>0</v>
      </c>
      <c r="F52" s="13">
        <v>37500.0000</v>
      </c>
      <c r="G52" s="13">
        <v>0</v>
      </c>
      <c r="H52" s="13">
        <v>0</v>
      </c>
      <c r="I52" s="13">
        <f ca="1">((((((((((B52 + 0) + C52) + D52) + 0) + E52) + F52) + G52) + 0) + H52) + 0)</f>
        <v>0</v>
      </c>
    </row>
    <row r="53" ht="10.95" customHeight="true" customFormat="true" s="9">
      <c r="A53" s="12" t="s">
        <v>57</v>
      </c>
      <c r="B53" s="13">
        <v>0</v>
      </c>
      <c r="C53" s="13">
        <v>0</v>
      </c>
      <c r="D53" s="13">
        <v>4441.3100</v>
      </c>
      <c r="E53" s="13">
        <v>0</v>
      </c>
      <c r="F53" s="13">
        <v>0</v>
      </c>
      <c r="G53" s="13">
        <v>0</v>
      </c>
      <c r="H53" s="13">
        <v>0</v>
      </c>
      <c r="I53" s="13">
        <f ca="1">((((((((((B53 + 0) + C53) + D53) + 0) + E53) + F53) + G53) + 0) + H53) + 0)</f>
        <v>0</v>
      </c>
    </row>
    <row r="54" ht="10.95" customHeight="true" customFormat="true" s="9">
      <c r="A54" s="12" t="s">
        <v>58</v>
      </c>
      <c r="B54" s="13">
        <v>14720.8700</v>
      </c>
      <c r="C54" s="13">
        <v>0</v>
      </c>
      <c r="D54" s="13">
        <v>40160.1700</v>
      </c>
      <c r="E54" s="13">
        <v>6466.2500</v>
      </c>
      <c r="F54" s="13">
        <v>0</v>
      </c>
      <c r="G54" s="13">
        <v>2962.3500</v>
      </c>
      <c r="H54" s="13">
        <v>2039.3500</v>
      </c>
      <c r="I54" s="13">
        <f ca="1">((((((((((B54 + 0) + C54) + D54) + 0) + E54) + F54) + G54) + 0) + H54) + 0)</f>
        <v>0</v>
      </c>
    </row>
    <row r="55" ht="10.95" customHeight="true" customFormat="true" s="9">
      <c r="A55" s="12" t="s">
        <v>59</v>
      </c>
      <c r="B55" s="13">
        <v>0</v>
      </c>
      <c r="C55" s="13">
        <v>0</v>
      </c>
      <c r="D55" s="13">
        <v>46800.0000</v>
      </c>
      <c r="E55" s="13">
        <v>0</v>
      </c>
      <c r="F55" s="13">
        <v>0</v>
      </c>
      <c r="G55" s="13">
        <v>0</v>
      </c>
      <c r="H55" s="13">
        <v>0</v>
      </c>
      <c r="I55" s="13">
        <f ca="1">((((((((((B55 + 0) + C55) + D55) + 0) + E55) + F55) + G55) + 0) + H55) + 0)</f>
        <v>0</v>
      </c>
    </row>
    <row r="56" ht="10.95" customHeight="true" customFormat="true" s="9">
      <c r="A56" s="14" t="s">
        <v>60</v>
      </c>
      <c r="B56" s="15">
        <f ca="1">SUM(B16:B55)</f>
        <v>0</v>
      </c>
      <c r="C56" s="15">
        <f ca="1">SUM(C16:C55)</f>
        <v>0</v>
      </c>
      <c r="D56" s="15">
        <f ca="1">SUM(D16:D55)</f>
        <v>0</v>
      </c>
      <c r="E56" s="15">
        <f ca="1">SUM(E16:E55)</f>
        <v>0</v>
      </c>
      <c r="F56" s="15">
        <f ca="1">SUM(F16:F55)</f>
        <v>0</v>
      </c>
      <c r="G56" s="15">
        <f ca="1">SUM(G16:G55)</f>
        <v>0</v>
      </c>
      <c r="H56" s="15">
        <f ca="1">SUM(H16:H55)</f>
        <v>0</v>
      </c>
      <c r="I56" s="15">
        <f ca="1">((((((((((B56 + 0) + C56) + D56) + 0) + E56) + F56) + G56) + 0) + H56) + 0)</f>
        <v>0</v>
      </c>
    </row>
    <row r="57" ht="13.35" customHeight="true"/>
    <row r="58" ht="10.95" customHeight="true" customFormat="true" s="9">
      <c r="A58" s="16" t="s">
        <v>61</v>
      </c>
      <c r="B58" s="17">
        <f ca="1">(B13 - B56)</f>
        <v>0</v>
      </c>
      <c r="C58" s="17">
        <f ca="1">(C13 - C56)</f>
        <v>0</v>
      </c>
      <c r="D58" s="17">
        <f ca="1">(D13 - D56)</f>
        <v>0</v>
      </c>
      <c r="E58" s="17">
        <f ca="1">(E13 - E56)</f>
        <v>0</v>
      </c>
      <c r="F58" s="17">
        <f ca="1">(F13 - F56)</f>
        <v>0</v>
      </c>
      <c r="G58" s="17">
        <f ca="1">(G13 - G56)</f>
        <v>0</v>
      </c>
      <c r="H58" s="17">
        <f ca="1">(H13 - H56)</f>
        <v>0</v>
      </c>
      <c r="I58" s="17">
        <f ca="1">((((((((((B58 + 0) + C58) + D58) + 0) + E58) + F58) + G58) + 0) + H58) + 0)</f>
        <v>0</v>
      </c>
    </row>
    <row r="59" ht="13.35" customHeight="true"/>
    <row r="60" ht="12.1" customHeight="true" customFormat="true" s="5">
      <c r="A60" s="8" t="s">
        <v>62</v>
      </c>
      <c r="B60" s="8"/>
      <c r="C60" s="8"/>
      <c r="D60" s="8"/>
      <c r="E60" s="8"/>
      <c r="F60" s="8"/>
      <c r="G60" s="8"/>
      <c r="H60" s="8"/>
      <c r="I60" s="8"/>
    </row>
    <row r="61" ht="10.95" customHeight="true" customFormat="true" s="9">
      <c r="A61" s="10" t="s">
        <v>63</v>
      </c>
      <c r="B61" s="11">
        <v>0</v>
      </c>
      <c r="C61" s="11">
        <v>835.0000</v>
      </c>
      <c r="D61" s="11">
        <v>0</v>
      </c>
      <c r="E61" s="11">
        <v>0</v>
      </c>
      <c r="F61" s="11">
        <v>2026.1900</v>
      </c>
      <c r="G61" s="11">
        <v>0</v>
      </c>
      <c r="H61" s="11">
        <v>0</v>
      </c>
      <c r="I61" s="11">
        <f ca="1">((((((((((B61 + 0) + C61) + D61) + 0) + E61) + F61) + G61) + 0) + H61) + 0)</f>
        <v>0</v>
      </c>
    </row>
    <row r="62" ht="10.95" customHeight="true" customFormat="true" s="9">
      <c r="A62" s="14" t="s">
        <v>64</v>
      </c>
      <c r="B62" s="15">
        <f ca="1">B61</f>
        <v>0</v>
      </c>
      <c r="C62" s="15">
        <f ca="1">C61</f>
        <v>0</v>
      </c>
      <c r="D62" s="15">
        <f ca="1">D61</f>
        <v>0</v>
      </c>
      <c r="E62" s="15">
        <f ca="1">E61</f>
        <v>0</v>
      </c>
      <c r="F62" s="15">
        <f ca="1">F61</f>
        <v>0</v>
      </c>
      <c r="G62" s="15">
        <f ca="1">G61</f>
        <v>0</v>
      </c>
      <c r="H62" s="15">
        <f ca="1">H61</f>
        <v>0</v>
      </c>
      <c r="I62" s="15">
        <f ca="1">((((((((((B62 + 0) + C62) + D62) + 0) + E62) + F62) + G62) + 0) + H62) + 0)</f>
        <v>0</v>
      </c>
    </row>
    <row r="63" ht="13.35" customHeight="true"/>
    <row r="64" ht="12.1" customHeight="true" customFormat="true" s="5">
      <c r="A64" s="8" t="s">
        <v>65</v>
      </c>
      <c r="B64" s="8"/>
      <c r="C64" s="8"/>
      <c r="D64" s="8"/>
      <c r="E64" s="8"/>
      <c r="F64" s="8"/>
      <c r="G64" s="8"/>
      <c r="H64" s="8"/>
      <c r="I64" s="8"/>
    </row>
    <row r="65" ht="10.95" customHeight="true" customFormat="true" s="9">
      <c r="A65" s="10" t="s">
        <v>66</v>
      </c>
      <c r="B65" s="11">
        <v>188550.6300</v>
      </c>
      <c r="C65" s="11">
        <v>185315.4900</v>
      </c>
      <c r="D65" s="11">
        <v>190097.9500</v>
      </c>
      <c r="E65" s="11">
        <v>188807.4900</v>
      </c>
      <c r="F65" s="11">
        <v>185215.7200</v>
      </c>
      <c r="G65" s="11">
        <v>188807.4900</v>
      </c>
      <c r="H65" s="11">
        <v>188277.5400</v>
      </c>
      <c r="I65" s="11">
        <f ca="1">((((((((((B65 + 0) + C65) + D65) + 0) + E65) + F65) + G65) + 0) + H65) + 0)</f>
        <v>0</v>
      </c>
    </row>
    <row r="66" ht="10.95" customHeight="true" customFormat="true" s="9">
      <c r="A66" s="12" t="s">
        <v>67</v>
      </c>
      <c r="B66" s="13">
        <v>158300.1500</v>
      </c>
      <c r="C66" s="13">
        <v>35913.1600</v>
      </c>
      <c r="D66" s="13">
        <v>327635.5800</v>
      </c>
      <c r="E66" s="13">
        <v>63397.1400</v>
      </c>
      <c r="F66" s="13">
        <v>15846.5300</v>
      </c>
      <c r="G66" s="13">
        <v>37451.4300</v>
      </c>
      <c r="H66" s="13">
        <v>25656.0100</v>
      </c>
      <c r="I66" s="13">
        <f ca="1">((((((((((B66 + 0) + C66) + D66) + 0) + E66) + F66) + G66) + 0) + H66) + 0)</f>
        <v>0</v>
      </c>
    </row>
    <row r="67" ht="10.95" customHeight="true" customFormat="true" s="9">
      <c r="A67" s="12" t="s">
        <v>68</v>
      </c>
      <c r="B67" s="13">
        <v>556.5200</v>
      </c>
      <c r="C67" s="13">
        <v>0</v>
      </c>
      <c r="D67" s="13">
        <v>5271.5200</v>
      </c>
      <c r="E67" s="13">
        <v>556.5200</v>
      </c>
      <c r="F67" s="13">
        <v>0</v>
      </c>
      <c r="G67" s="13">
        <v>556.5200</v>
      </c>
      <c r="H67" s="13">
        <v>556.5200</v>
      </c>
      <c r="I67" s="13">
        <f ca="1">((((((((((B67 + 0) + C67) + D67) + 0) + E67) + F67) + G67) + 0) + H67) + 0)</f>
        <v>0</v>
      </c>
    </row>
    <row r="68" ht="10.95" customHeight="true" customFormat="true" s="9">
      <c r="A68" s="12" t="s">
        <v>69</v>
      </c>
      <c r="B68" s="13">
        <v>0</v>
      </c>
      <c r="C68" s="13">
        <v>0</v>
      </c>
      <c r="D68" s="13">
        <v>2834.0000</v>
      </c>
      <c r="E68" s="13">
        <v>5745.9200</v>
      </c>
      <c r="F68" s="13">
        <v>0</v>
      </c>
      <c r="G68" s="13">
        <v>661.0000</v>
      </c>
      <c r="H68" s="13">
        <v>1534.0000</v>
      </c>
      <c r="I68" s="13">
        <f ca="1">((((((((((B68 + 0) + C68) + D68) + 0) + E68) + F68) + G68) + 0) + H68) + 0)</f>
        <v>0</v>
      </c>
    </row>
    <row r="69" ht="10.95" customHeight="true" customFormat="true" s="9">
      <c r="A69" s="12" t="s">
        <v>70</v>
      </c>
      <c r="B69" s="13">
        <v>5190.0000</v>
      </c>
      <c r="C69" s="13">
        <v>0</v>
      </c>
      <c r="D69" s="13">
        <v>9033.0000</v>
      </c>
      <c r="E69" s="13">
        <v>9803.0000</v>
      </c>
      <c r="F69" s="13">
        <v>0</v>
      </c>
      <c r="G69" s="13">
        <v>1100.0000</v>
      </c>
      <c r="H69" s="13">
        <v>0</v>
      </c>
      <c r="I69" s="13">
        <f ca="1">((((((((((B69 + 0) + C69) + D69) + 0) + E69) + F69) + G69) + 0) + H69) + 0)</f>
        <v>0</v>
      </c>
    </row>
    <row r="70" ht="10.95" customHeight="true" customFormat="true" s="9">
      <c r="A70" s="12" t="s">
        <v>71</v>
      </c>
      <c r="B70" s="13">
        <v>3970.2600</v>
      </c>
      <c r="C70" s="13">
        <v>0</v>
      </c>
      <c r="D70" s="13">
        <v>4226.0500</v>
      </c>
      <c r="E70" s="13">
        <v>4218.8300</v>
      </c>
      <c r="F70" s="13">
        <v>0</v>
      </c>
      <c r="G70" s="13">
        <v>3970.2600</v>
      </c>
      <c r="H70" s="13">
        <v>3970.2600</v>
      </c>
      <c r="I70" s="13">
        <f ca="1">((((((((((B70 + 0) + C70) + D70) + 0) + E70) + F70) + G70) + 0) + H70) + 0)</f>
        <v>0</v>
      </c>
    </row>
    <row r="71" ht="10.95" customHeight="true" customFormat="true" s="9">
      <c r="A71" s="12" t="s">
        <v>72</v>
      </c>
      <c r="B71" s="13">
        <v>27062.3800</v>
      </c>
      <c r="C71" s="13">
        <v>0</v>
      </c>
      <c r="D71" s="13">
        <v>27173.8200</v>
      </c>
      <c r="E71" s="13">
        <v>27032.3700</v>
      </c>
      <c r="F71" s="13">
        <v>0</v>
      </c>
      <c r="G71" s="13">
        <v>27032.3900</v>
      </c>
      <c r="H71" s="13">
        <v>27050.3300</v>
      </c>
      <c r="I71" s="13">
        <f ca="1">((((((((((B71 + 0) + C71) + D71) + 0) + E71) + F71) + G71) + 0) + H71) + 0)</f>
        <v>0</v>
      </c>
    </row>
    <row r="72" ht="10.95" customHeight="true" customFormat="true" s="9">
      <c r="A72" s="12" t="s">
        <v>73</v>
      </c>
      <c r="B72" s="13">
        <v>25000.0000</v>
      </c>
      <c r="C72" s="13">
        <v>6000.0000</v>
      </c>
      <c r="D72" s="13">
        <v>25000.0000</v>
      </c>
      <c r="E72" s="13">
        <v>6000.0000</v>
      </c>
      <c r="F72" s="13">
        <v>6000.0000</v>
      </c>
      <c r="G72" s="13">
        <v>0</v>
      </c>
      <c r="H72" s="13">
        <v>0</v>
      </c>
      <c r="I72" s="13">
        <f ca="1">((((((((((B72 + 0) + C72) + D72) + 0) + E72) + F72) + G72) + 0) + H72) + 0)</f>
        <v>0</v>
      </c>
    </row>
    <row r="73" ht="10.95" customHeight="true" customFormat="true" s="9">
      <c r="A73" s="12" t="s">
        <v>74</v>
      </c>
      <c r="B73" s="13">
        <v>5243.1200</v>
      </c>
      <c r="C73" s="13">
        <v>0</v>
      </c>
      <c r="D73" s="13">
        <v>3550.3400</v>
      </c>
      <c r="E73" s="13">
        <v>405.8000</v>
      </c>
      <c r="F73" s="13">
        <v>166.7500</v>
      </c>
      <c r="G73" s="13">
        <v>0</v>
      </c>
      <c r="H73" s="13">
        <v>0</v>
      </c>
      <c r="I73" s="13">
        <f ca="1">((((((((((B73 + 0) + C73) + D73) + 0) + E73) + F73) + G73) + 0) + H73) + 0)</f>
        <v>0</v>
      </c>
    </row>
    <row r="74" ht="10.95" customHeight="true" customFormat="true" s="9">
      <c r="A74" s="12" t="s">
        <v>75</v>
      </c>
      <c r="B74" s="13">
        <v>1402.1700</v>
      </c>
      <c r="C74" s="13">
        <v>531.3000</v>
      </c>
      <c r="D74" s="13">
        <v>5476.4400</v>
      </c>
      <c r="E74" s="13">
        <v>1135.6500</v>
      </c>
      <c r="F74" s="13">
        <v>1376.0900</v>
      </c>
      <c r="G74" s="13">
        <v>920.6500</v>
      </c>
      <c r="H74" s="13">
        <v>990.6500</v>
      </c>
      <c r="I74" s="13">
        <f ca="1">((((((((((B74 + 0) + C74) + D74) + 0) + E74) + F74) + G74) + 0) + H74) + 0)</f>
        <v>0</v>
      </c>
    </row>
    <row r="75" ht="10.95" customHeight="true" customFormat="true" s="9">
      <c r="A75" s="12" t="s">
        <v>76</v>
      </c>
      <c r="B75" s="13">
        <v>5716.2500</v>
      </c>
      <c r="C75" s="13">
        <v>500.0000</v>
      </c>
      <c r="D75" s="13">
        <v>14447.5000</v>
      </c>
      <c r="E75" s="13">
        <v>0</v>
      </c>
      <c r="F75" s="13">
        <v>0</v>
      </c>
      <c r="G75" s="13">
        <v>0</v>
      </c>
      <c r="H75" s="13">
        <v>5892.5000</v>
      </c>
      <c r="I75" s="13">
        <f ca="1">((((((((((B75 + 0) + C75) + D75) + 0) + E75) + F75) + G75) + 0) + H75) + 0)</f>
        <v>0</v>
      </c>
    </row>
    <row r="76" ht="10.95" customHeight="true" customFormat="true" s="9">
      <c r="A76" s="12" t="s">
        <v>77</v>
      </c>
      <c r="B76" s="13">
        <v>0</v>
      </c>
      <c r="C76" s="13">
        <v>0</v>
      </c>
      <c r="D76" s="13">
        <v>290.0000</v>
      </c>
      <c r="E76" s="13">
        <v>0</v>
      </c>
      <c r="F76" s="13">
        <v>0</v>
      </c>
      <c r="G76" s="13">
        <v>0</v>
      </c>
      <c r="H76" s="13">
        <v>0</v>
      </c>
      <c r="I76" s="13">
        <f ca="1">((((((((((B76 + 0) + C76) + D76) + 0) + E76) + F76) + G76) + 0) + H76) + 0)</f>
        <v>0</v>
      </c>
    </row>
    <row r="77" ht="10.95" customHeight="true" customFormat="true" s="9">
      <c r="A77" s="12" t="s">
        <v>78</v>
      </c>
      <c r="B77" s="13">
        <v>0</v>
      </c>
      <c r="C77" s="13">
        <v>0</v>
      </c>
      <c r="D77" s="13">
        <v>200.0000</v>
      </c>
      <c r="E77" s="13">
        <v>400.0000</v>
      </c>
      <c r="F77" s="13">
        <v>0</v>
      </c>
      <c r="G77" s="13">
        <v>0</v>
      </c>
      <c r="H77" s="13">
        <v>200.0000</v>
      </c>
      <c r="I77" s="13">
        <f ca="1">((((((((((B77 + 0) + C77) + D77) + 0) + E77) + F77) + G77) + 0) + H77) + 0)</f>
        <v>0</v>
      </c>
    </row>
    <row r="78" ht="10.95" customHeight="true" customFormat="true" s="9">
      <c r="A78" s="12" t="s">
        <v>79</v>
      </c>
      <c r="B78" s="13">
        <v>4534.4700</v>
      </c>
      <c r="C78" s="13">
        <v>1.2100</v>
      </c>
      <c r="D78" s="13">
        <v>2642.9100</v>
      </c>
      <c r="E78" s="13">
        <v>1438.6700</v>
      </c>
      <c r="F78" s="13">
        <v>0</v>
      </c>
      <c r="G78" s="13">
        <v>1826.2900</v>
      </c>
      <c r="H78" s="13">
        <v>1245.8300</v>
      </c>
      <c r="I78" s="13">
        <f ca="1">((((((((((B78 + 0) + C78) + D78) + 0) + E78) + F78) + G78) + 0) + H78) + 0)</f>
        <v>0</v>
      </c>
    </row>
    <row r="79" ht="10.95" customHeight="true" customFormat="true" s="9">
      <c r="A79" s="12" t="s">
        <v>80</v>
      </c>
      <c r="B79" s="13">
        <v>150.0000</v>
      </c>
      <c r="C79" s="13">
        <v>0</v>
      </c>
      <c r="D79" s="13">
        <v>-1076.4500</v>
      </c>
      <c r="E79" s="13">
        <v>1380.0000</v>
      </c>
      <c r="F79" s="13">
        <v>0</v>
      </c>
      <c r="G79" s="13">
        <v>0</v>
      </c>
      <c r="H79" s="13">
        <v>0</v>
      </c>
      <c r="I79" s="13">
        <f ca="1">((((((((((B79 + 0) + C79) + D79) + 0) + E79) + F79) + G79) + 0) + H79) + 0)</f>
        <v>0</v>
      </c>
    </row>
    <row r="80" ht="10.95" customHeight="true" customFormat="true" s="9">
      <c r="A80" s="12" t="s">
        <v>81</v>
      </c>
      <c r="B80" s="13">
        <v>97026.8800</v>
      </c>
      <c r="C80" s="13">
        <v>15326.0200</v>
      </c>
      <c r="D80" s="13">
        <v>311375.9000</v>
      </c>
      <c r="E80" s="13">
        <v>111571.4200</v>
      </c>
      <c r="F80" s="13">
        <v>2804.9000</v>
      </c>
      <c r="G80" s="13">
        <v>64202.3400</v>
      </c>
      <c r="H80" s="13">
        <v>30478.0300</v>
      </c>
      <c r="I80" s="13">
        <f ca="1">((((((((((B80 + 0) + C80) + D80) + 0) + E80) + F80) + G80) + 0) + H80) + 0)</f>
        <v>0</v>
      </c>
    </row>
    <row r="81" ht="10.95" customHeight="true" customFormat="true" s="9">
      <c r="A81" s="12" t="s">
        <v>82</v>
      </c>
      <c r="B81" s="13">
        <v>0</v>
      </c>
      <c r="C81" s="13">
        <v>-1162.0000</v>
      </c>
      <c r="D81" s="13">
        <v>0</v>
      </c>
      <c r="E81" s="13">
        <v>0</v>
      </c>
      <c r="F81" s="13">
        <v>22379.0000</v>
      </c>
      <c r="G81" s="13">
        <v>0</v>
      </c>
      <c r="H81" s="13">
        <v>0</v>
      </c>
      <c r="I81" s="13">
        <f ca="1">((((((((((B81 + 0) + C81) + D81) + 0) + E81) + F81) + G81) + 0) + H81) + 0)</f>
        <v>0</v>
      </c>
    </row>
    <row r="82" ht="10.95" customHeight="true" customFormat="true" s="9">
      <c r="A82" s="12" t="s">
        <v>83</v>
      </c>
      <c r="B82" s="13">
        <v>0</v>
      </c>
      <c r="C82" s="13">
        <v>488.0000</v>
      </c>
      <c r="D82" s="13">
        <v>2435.6500</v>
      </c>
      <c r="E82" s="13">
        <v>45.8800</v>
      </c>
      <c r="F82" s="13">
        <v>3303.0000</v>
      </c>
      <c r="G82" s="13">
        <v>0</v>
      </c>
      <c r="H82" s="13">
        <v>0</v>
      </c>
      <c r="I82" s="13">
        <f ca="1">((((((((((B82 + 0) + C82) + D82) + 0) + E82) + F82) + G82) + 0) + H82) + 0)</f>
        <v>0</v>
      </c>
    </row>
    <row r="83" ht="10.95" customHeight="true" customFormat="true" s="9">
      <c r="A83" s="12" t="s">
        <v>84</v>
      </c>
      <c r="B83" s="13">
        <v>0</v>
      </c>
      <c r="C83" s="13">
        <v>95.8000</v>
      </c>
      <c r="D83" s="13">
        <v>4051.8000</v>
      </c>
      <c r="E83" s="13">
        <v>348.3500</v>
      </c>
      <c r="F83" s="13">
        <v>0</v>
      </c>
      <c r="G83" s="13">
        <v>0</v>
      </c>
      <c r="H83" s="13">
        <v>0</v>
      </c>
      <c r="I83" s="13">
        <f ca="1">((((((((((B83 + 0) + C83) + D83) + 0) + E83) + F83) + G83) + 0) + H83) + 0)</f>
        <v>0</v>
      </c>
    </row>
    <row r="84" ht="10.95" customHeight="true" customFormat="true" s="9">
      <c r="A84" s="12" t="s">
        <v>85</v>
      </c>
      <c r="B84" s="13">
        <v>0</v>
      </c>
      <c r="C84" s="13">
        <v>0</v>
      </c>
      <c r="D84" s="13">
        <v>5818.5300</v>
      </c>
      <c r="E84" s="13">
        <v>0</v>
      </c>
      <c r="F84" s="13">
        <v>0</v>
      </c>
      <c r="G84" s="13">
        <v>0</v>
      </c>
      <c r="H84" s="13">
        <v>0</v>
      </c>
      <c r="I84" s="13">
        <f ca="1">((((((((((B84 + 0) + C84) + D84) + 0) + E84) + F84) + G84) + 0) + H84) + 0)</f>
        <v>0</v>
      </c>
    </row>
    <row r="85" ht="10.95" customHeight="true" customFormat="true" s="9">
      <c r="A85" s="12" t="s">
        <v>86</v>
      </c>
      <c r="B85" s="13">
        <v>1834.2000</v>
      </c>
      <c r="C85" s="13">
        <v>0</v>
      </c>
      <c r="D85" s="13">
        <v>4284.2000</v>
      </c>
      <c r="E85" s="13">
        <v>1363.8200</v>
      </c>
      <c r="F85" s="13">
        <v>0</v>
      </c>
      <c r="G85" s="13">
        <v>984.2000</v>
      </c>
      <c r="H85" s="13">
        <v>1334.2000</v>
      </c>
      <c r="I85" s="13">
        <f ca="1">((((((((((B85 + 0) + C85) + D85) + 0) + E85) + F85) + G85) + 0) + H85) + 0)</f>
        <v>0</v>
      </c>
    </row>
    <row r="86" ht="10.95" customHeight="true" customFormat="true" s="9">
      <c r="A86" s="12" t="s">
        <v>87</v>
      </c>
      <c r="B86" s="13">
        <v>4999.0000</v>
      </c>
      <c r="C86" s="13">
        <v>960.0000</v>
      </c>
      <c r="D86" s="13">
        <v>17497.0000</v>
      </c>
      <c r="E86" s="13">
        <v>6596.9900</v>
      </c>
      <c r="F86" s="13">
        <v>0</v>
      </c>
      <c r="G86" s="13">
        <v>4999.0000</v>
      </c>
      <c r="H86" s="13">
        <v>4999.0000</v>
      </c>
      <c r="I86" s="13">
        <f ca="1">((((((((((B86 + 0) + C86) + D86) + 0) + E86) + F86) + G86) + 0) + H86) + 0)</f>
        <v>0</v>
      </c>
    </row>
    <row r="87" ht="10.95" customHeight="true" customFormat="true" s="9">
      <c r="A87" s="12" t="s">
        <v>88</v>
      </c>
      <c r="B87" s="13">
        <v>0</v>
      </c>
      <c r="C87" s="13">
        <v>10930.7400</v>
      </c>
      <c r="D87" s="13">
        <v>364884.7300</v>
      </c>
      <c r="E87" s="13">
        <v>0</v>
      </c>
      <c r="F87" s="13">
        <v>0</v>
      </c>
      <c r="G87" s="13">
        <v>0</v>
      </c>
      <c r="H87" s="13">
        <v>0</v>
      </c>
      <c r="I87" s="13">
        <f ca="1">((((((((((B87 + 0) + C87) + D87) + 0) + E87) + F87) + G87) + 0) + H87) + 0)</f>
        <v>0</v>
      </c>
    </row>
    <row r="88" ht="10.95" customHeight="true" customFormat="true" s="9">
      <c r="A88" s="12" t="s">
        <v>89</v>
      </c>
      <c r="B88" s="13">
        <v>9000.0000</v>
      </c>
      <c r="C88" s="13">
        <v>0</v>
      </c>
      <c r="D88" s="13">
        <v>14500.0000</v>
      </c>
      <c r="E88" s="13">
        <v>8500.0000</v>
      </c>
      <c r="F88" s="13">
        <v>0</v>
      </c>
      <c r="G88" s="13">
        <v>4000.0000</v>
      </c>
      <c r="H88" s="13">
        <v>6000.0000</v>
      </c>
      <c r="I88" s="13">
        <f ca="1">((((((((((B88 + 0) + C88) + D88) + 0) + E88) + F88) + G88) + 0) + H88) + 0)</f>
        <v>0</v>
      </c>
    </row>
    <row r="89" ht="10.95" customHeight="true" customFormat="true" s="9">
      <c r="A89" s="12" t="s">
        <v>90</v>
      </c>
      <c r="B89" s="13">
        <v>21123.6100</v>
      </c>
      <c r="C89" s="13">
        <v>21123.6200</v>
      </c>
      <c r="D89" s="13">
        <v>21123.6100</v>
      </c>
      <c r="E89" s="13">
        <v>21123.6200</v>
      </c>
      <c r="F89" s="13">
        <v>21123.6100</v>
      </c>
      <c r="G89" s="13">
        <v>21123.6200</v>
      </c>
      <c r="H89" s="13">
        <v>21123.6200</v>
      </c>
      <c r="I89" s="13">
        <f ca="1">((((((((((B89 + 0) + C89) + D89) + 0) + E89) + F89) + G89) + 0) + H89) + 0)</f>
        <v>0</v>
      </c>
    </row>
    <row r="90" ht="10.95" customHeight="true" customFormat="true" s="9">
      <c r="A90" s="12" t="s">
        <v>91</v>
      </c>
      <c r="B90" s="13">
        <v>28611.0100</v>
      </c>
      <c r="C90" s="13">
        <v>6884.5000</v>
      </c>
      <c r="D90" s="13">
        <v>48976.1800</v>
      </c>
      <c r="E90" s="13">
        <v>11386.3400</v>
      </c>
      <c r="F90" s="13">
        <v>2270.9600</v>
      </c>
      <c r="G90" s="13">
        <v>6412.5900</v>
      </c>
      <c r="H90" s="13">
        <v>4151.4200</v>
      </c>
      <c r="I90" s="13">
        <f ca="1">((((((((((B90 + 0) + C90) + D90) + 0) + E90) + F90) + G90) + 0) + H90) + 0)</f>
        <v>0</v>
      </c>
    </row>
    <row r="91" ht="10.95" customHeight="true" customFormat="true" s="9">
      <c r="A91" s="12" t="s">
        <v>92</v>
      </c>
      <c r="B91" s="13">
        <v>230.0000</v>
      </c>
      <c r="C91" s="13">
        <v>345.0000</v>
      </c>
      <c r="D91" s="13">
        <v>1983.2700</v>
      </c>
      <c r="E91" s="13">
        <v>2263.0000</v>
      </c>
      <c r="F91" s="13">
        <v>345.0000</v>
      </c>
      <c r="G91" s="13">
        <v>2221.7100</v>
      </c>
      <c r="H91" s="13">
        <v>1632.4000</v>
      </c>
      <c r="I91" s="13">
        <f ca="1">((((((((((B91 + 0) + C91) + D91) + 0) + E91) + F91) + G91) + 0) + H91) + 0)</f>
        <v>0</v>
      </c>
    </row>
    <row r="92" ht="10.95" customHeight="true" customFormat="true" s="9">
      <c r="A92" s="12" t="s">
        <v>93</v>
      </c>
      <c r="B92" s="13">
        <v>1860.0000</v>
      </c>
      <c r="C92" s="13">
        <v>0</v>
      </c>
      <c r="D92" s="13">
        <v>190420.0000</v>
      </c>
      <c r="E92" s="13">
        <v>0</v>
      </c>
      <c r="F92" s="13">
        <v>0</v>
      </c>
      <c r="G92" s="13">
        <v>0</v>
      </c>
      <c r="H92" s="13">
        <v>0</v>
      </c>
      <c r="I92" s="13">
        <f ca="1">((((((((((B92 + 0) + C92) + D92) + 0) + E92) + F92) + G92) + 0) + H92) + 0)</f>
        <v>0</v>
      </c>
    </row>
    <row r="93" ht="10.95" customHeight="true" customFormat="true" s="9">
      <c r="A93" s="14" t="s">
        <v>94</v>
      </c>
      <c r="B93" s="15">
        <f ca="1">SUM(B65:B92)</f>
        <v>0</v>
      </c>
      <c r="C93" s="15">
        <f ca="1">SUM(C65:C92)</f>
        <v>0</v>
      </c>
      <c r="D93" s="15">
        <f ca="1">SUM(D65:D92)</f>
        <v>0</v>
      </c>
      <c r="E93" s="15">
        <f ca="1">SUM(E65:E92)</f>
        <v>0</v>
      </c>
      <c r="F93" s="15">
        <f ca="1">SUM(F65:F92)</f>
        <v>0</v>
      </c>
      <c r="G93" s="15">
        <f ca="1">SUM(G65:G92)</f>
        <v>0</v>
      </c>
      <c r="H93" s="15">
        <f ca="1">SUM(H65:H92)</f>
        <v>0</v>
      </c>
      <c r="I93" s="15">
        <f ca="1">((((((((((B93 + 0) + C93) + D93) + 0) + E93) + F93) + G93) + 0) + H93) + 0)</f>
        <v>0</v>
      </c>
    </row>
    <row r="94" ht="13.35" customHeight="true"/>
    <row r="95" ht="10.95" customHeight="true" customFormat="true" s="9">
      <c r="A95" s="16" t="s">
        <v>95</v>
      </c>
      <c r="B95" s="17">
        <f ca="1">((B58 + B62) - B93)</f>
        <v>0</v>
      </c>
      <c r="C95" s="17">
        <f ca="1">((C58 + C62) - C93)</f>
        <v>0</v>
      </c>
      <c r="D95" s="17">
        <f ca="1">((D58 + D62) - D93)</f>
        <v>0</v>
      </c>
      <c r="E95" s="17">
        <f ca="1">((E58 + E62) - E93)</f>
        <v>0</v>
      </c>
      <c r="F95" s="17">
        <f ca="1">((F58 + F62) - F93)</f>
        <v>0</v>
      </c>
      <c r="G95" s="17">
        <f ca="1">((G58 + G62) - G93)</f>
        <v>0</v>
      </c>
      <c r="H95" s="17">
        <f ca="1">((H58 + H62) - H93)</f>
        <v>0</v>
      </c>
      <c r="I95" s="17">
        <f ca="1">((((((((((B95 + 0) + C95) + D95) + 0) + E95) + F95) + G95) + 0) + H95) + 0)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