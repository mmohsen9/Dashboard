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<sst xmlns="http://schemas.openxmlformats.org/spreadsheetml/2006/main" count="101" uniqueCount="101">
  <si>
    <t>Profit and Loss</t>
  </si>
  <si>
    <t>شركة الكوب الاول</t>
  </si>
  <si>
    <t>For the year ended 31 December 2025</t>
  </si>
  <si>
    <t>Account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</si>
  <si>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</si>
  <si>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</si>
  <si>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</si>
  <si>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</si>
  <si>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</si>
  <si>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</si>
  <si>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</si>
  <si>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</si>
  <si>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</si>
  <si>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</si>
  <si>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</si>
  <si>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</si>
  <si>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Year to date</t>
  </si>
  <si>
    <t>Trading Income</t>
  </si>
  <si>
    <t>200 - المبيعات/Sales</t>
  </si>
  <si>
    <t>201 - مبيعات القهوة الخضراء</t>
  </si>
  <si>
    <t>202 - مبيعات القهوة المحمصه</t>
  </si>
  <si>
    <t>203 - مبيعات المتجر الكترونى موقع سلة</t>
  </si>
  <si>
    <t>204 - مبيعات خارجية للكفى /External sales of the coffee</t>
  </si>
  <si>
    <t>Total Trading Income</t>
  </si>
  <si>
    <t>Cost of Sales</t>
  </si>
  <si>
    <t>310 - تكلفة البضاعة المباعة/Cost of Goods Sold</t>
  </si>
  <si>
    <t>311 - تكلفة مبيعات القهوة الخضراء</t>
  </si>
  <si>
    <t>312 - تكلفه مبيعات القهوة المحموصه</t>
  </si>
  <si>
    <t>313 - تكلفه مبيعات المتجر الكترونى موقع سلة</t>
  </si>
  <si>
    <t>314 - تكلفه مبيعات المتجر الكترونى موقع جاهز</t>
  </si>
  <si>
    <t>315 - تكلفه مبيعات المتجر الكترونى موقع شيفز</t>
  </si>
  <si>
    <t>316 - تكلفة مواقع النت الاخرى</t>
  </si>
  <si>
    <t>317 - تكلفه مشتريات خارجية</t>
  </si>
  <si>
    <t>318 - رواتب واجور عمالة مستأجرة</t>
  </si>
  <si>
    <t>319 - الرواتب والاجور التشغيلية للفرع</t>
  </si>
  <si>
    <t>320 - ايجار الفرع</t>
  </si>
  <si>
    <t>321 - غاز للحماصة</t>
  </si>
  <si>
    <t>322 - مواد نظافة للفرع</t>
  </si>
  <si>
    <t>323 - مستلزمات واكسسورات للكفى</t>
  </si>
  <si>
    <t>324 - مواد وادوات مستهلكة</t>
  </si>
  <si>
    <t>325 - محروقات وزيوت</t>
  </si>
  <si>
    <t>326 - صيانة عامة للفرع</t>
  </si>
  <si>
    <t>327 - ملابس للعمال</t>
  </si>
  <si>
    <t>328 - تخليص جمركى</t>
  </si>
  <si>
    <t>330 - تكاليف شحن وتفريغ وتوصيل</t>
  </si>
  <si>
    <t>331 - رسوم نقاط البيع</t>
  </si>
  <si>
    <t>332 - مصروفات الدعايا والأعلان/Advertising and advertising expenses</t>
  </si>
  <si>
    <t>333 - مطبوعات وادوات مكتبية</t>
  </si>
  <si>
    <t>334 - مصروفات المياه والكهرباء/Light, Power, Heating</t>
  </si>
  <si>
    <t>335 - مصروفات الهواتف والانترنت</t>
  </si>
  <si>
    <t>336 - ايجار سكن العمال</t>
  </si>
  <si>
    <t>337 - صيانة الالات والاجهزة الكهربائية</t>
  </si>
  <si>
    <t>338 - رسوم تجديد اقامات وكروت عمل</t>
  </si>
  <si>
    <t>339 - اعمال دهانات  للفرع</t>
  </si>
  <si>
    <t>340 - اعمال الزينة والديكورات فى الفرع</t>
  </si>
  <si>
    <t>342 - مفروشات للفرع</t>
  </si>
  <si>
    <t>343 - غاز للجلسات الخارجية</t>
  </si>
  <si>
    <t>344 - مصروفات نفل ولموزينات للموظفين</t>
  </si>
  <si>
    <t>345 - عينات قهوه</t>
  </si>
  <si>
    <t>346 - اعمال الكهرباء والسباكة</t>
  </si>
  <si>
    <t>347 - صيانة وتجهيزات للمستودع</t>
  </si>
  <si>
    <t>348 - ايجار المستودع</t>
  </si>
  <si>
    <t>349 - ايجار معدات والات</t>
  </si>
  <si>
    <t>350 - تجهيزات متنوعة للمناسبات</t>
  </si>
  <si>
    <t>419 - عقود حاويات بلدية ونظافة</t>
  </si>
  <si>
    <t>Total Cost of Sales</t>
  </si>
  <si>
    <t>Gross Profit</t>
  </si>
  <si>
    <t>Other Income</t>
  </si>
  <si>
    <t>261 - ايرادات شحن وتوصيل</t>
  </si>
  <si>
    <t>Total Other Income</t>
  </si>
  <si>
    <t>Operating Expenses</t>
  </si>
  <si>
    <t>400 - رواتب موظفى الادارة</t>
  </si>
  <si>
    <t>401 - مكافأت وخارج دوام للموظفين</t>
  </si>
  <si>
    <t>402 - دورات تدريبية للموظفين</t>
  </si>
  <si>
    <t>403 - بدل تذاكر سفر للموظفين</t>
  </si>
  <si>
    <t>404 - بدل اجازة سنوية للموظفين</t>
  </si>
  <si>
    <t>405 - مصروفات التأمين الطبي/Insurance</t>
  </si>
  <si>
    <t>406 - التامينات الاجتماعية</t>
  </si>
  <si>
    <t>407 - مصروفات سفر وانتداب لموظفى الادارة</t>
  </si>
  <si>
    <t>408 - مصروفات سكن العمال</t>
  </si>
  <si>
    <t>409 - صيانة السيارة</t>
  </si>
  <si>
    <t>410 - رسوم حكومية</t>
  </si>
  <si>
    <t>411 - رسوم فحص العمال للبلدية</t>
  </si>
  <si>
    <t>412 - رسوم خروج وعودة</t>
  </si>
  <si>
    <t>413 - رسوم خدمة بنكية(رواتب-حوالات-..)</t>
  </si>
  <si>
    <t>414 - اتعاب تعقيب</t>
  </si>
  <si>
    <t>416 - مصروفات الأهلاك/Depreciation</t>
  </si>
  <si>
    <t>417 - مصروف ديون مشكوك بتحصيلها</t>
  </si>
  <si>
    <t>420 - مصروفات ضيافة/Entertainment</t>
  </si>
  <si>
    <t>429 - علاج للموظفين</t>
  </si>
  <si>
    <t>449 - تأمين للسيارات</t>
  </si>
  <si>
    <t>451 - تجديد اشتراكات وشحن نقاط</t>
  </si>
  <si>
    <t>452 - اشتركات برامج المبيعات والحسابات</t>
  </si>
  <si>
    <t>453 - مصروفات فوائد القروض/Interest Expense</t>
  </si>
  <si>
    <t>454 - مخالفات وغرامات</t>
  </si>
  <si>
    <t>477 - ضريبة الزكاة والدخل</t>
  </si>
  <si>
    <t>479 - مصروفات نهاية الخدمة /Superannuation</t>
  </si>
  <si>
    <t>489 - مصروفات هاتف وبريد وأنترنت/Telephone &amp; Internet</t>
  </si>
  <si>
    <t>506 - مصروف تمويل القرض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</si>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</sst>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9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78.66015625" customWidth="1"/>
    <col min="2" max="13" width="12.83203125" customWidth="1"/>
    <col min="14" max="14" width="14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ht="13.35" customHeight="true"/>
    <row r="7" ht="12.1" customHeight="true" customFormat="true" s="5">
      <c r="A7" s="8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10.95" customHeight="true" customFormat="true" s="9">
      <c r="A8" s="10" t="s">
        <v>18</v>
      </c>
      <c r="B8" s="11">
        <v>1297416.6200</v>
      </c>
      <c r="C8" s="11">
        <v>1494445.1300</v>
      </c>
      <c r="D8" s="11">
        <v>1233077.4800</v>
      </c>
      <c r="E8" s="11">
        <v>1555783.5100</v>
      </c>
      <c r="F8" s="11">
        <v>1611423.6900</v>
      </c>
      <c r="G8" s="11">
        <v>1434854.5800</v>
      </c>
      <c r="H8" s="11">
        <v>1612276.1100</v>
      </c>
      <c r="I8" s="11">
        <v>1585714.0400</v>
      </c>
      <c r="J8" s="11">
        <v>1472436.1600</v>
      </c>
      <c r="K8" s="11">
        <v>1550652.3000</v>
      </c>
      <c r="L8" s="11">
        <v>1702669.9900</v>
      </c>
      <c r="M8" s="11">
        <v>1700449.1900</v>
      </c>
      <c r="N8" s="11">
        <v>18251198.8000</v>
      </c>
    </row>
    <row r="9" ht="10.95" customHeight="true" customFormat="true" s="9">
      <c r="A9" s="12" t="s">
        <v>19</v>
      </c>
      <c r="B9" s="13">
        <v>203452.3000</v>
      </c>
      <c r="C9" s="13">
        <v>90726.0000</v>
      </c>
      <c r="D9" s="13">
        <v>144458.8200</v>
      </c>
      <c r="E9" s="13">
        <v>134256.0000</v>
      </c>
      <c r="F9" s="13">
        <v>141982.5000</v>
      </c>
      <c r="G9" s="13">
        <v>60696.0000</v>
      </c>
      <c r="H9" s="13">
        <v>82836.0000</v>
      </c>
      <c r="I9" s="13">
        <v>156145.5000</v>
      </c>
      <c r="J9" s="13">
        <v>44325.0000</v>
      </c>
      <c r="K9" s="13">
        <v>37848.7500</v>
      </c>
      <c r="L9" s="13">
        <v>64570.5000</v>
      </c>
      <c r="M9" s="13">
        <v>101640.0000</v>
      </c>
      <c r="N9" s="13">
        <v>1262937.3700</v>
      </c>
    </row>
    <row r="10" ht="10.95" customHeight="true" customFormat="true" s="9">
      <c r="A10" s="12" t="s">
        <v>20</v>
      </c>
      <c r="B10" s="13">
        <v>34400.0000</v>
      </c>
      <c r="C10" s="13">
        <v>19032.0000</v>
      </c>
      <c r="D10" s="13">
        <v>44028.0000</v>
      </c>
      <c r="E10" s="13">
        <v>34683.0000</v>
      </c>
      <c r="F10" s="13">
        <v>60397.0000</v>
      </c>
      <c r="G10" s="13">
        <v>37302.0000</v>
      </c>
      <c r="H10" s="13">
        <v>19892.0000</v>
      </c>
      <c r="I10" s="13">
        <v>34495.0000</v>
      </c>
      <c r="J10" s="13">
        <v>28797.9900</v>
      </c>
      <c r="K10" s="13">
        <v>23490.0000</v>
      </c>
      <c r="L10" s="13">
        <v>20195.5000</v>
      </c>
      <c r="M10" s="13">
        <v>18268.0000</v>
      </c>
      <c r="N10" s="13">
        <v>374980.4900</v>
      </c>
    </row>
    <row r="11" ht="10.95" customHeight="true" customFormat="true" s="9">
      <c r="A11" s="12" t="s">
        <v>21</v>
      </c>
      <c r="B11" s="13">
        <v>1607.4900</v>
      </c>
      <c r="C11" s="13">
        <v>5002.3800</v>
      </c>
      <c r="D11" s="13">
        <v>2502.3700</v>
      </c>
      <c r="E11" s="13">
        <v>1609.9600</v>
      </c>
      <c r="F11" s="13">
        <v>1033.1700</v>
      </c>
      <c r="G11" s="13">
        <v>1866.2600</v>
      </c>
      <c r="H11" s="13">
        <v>4547.6200</v>
      </c>
      <c r="I11" s="13">
        <v>298.7700</v>
      </c>
      <c r="J11" s="13">
        <v>3361.1500</v>
      </c>
      <c r="K11" s="13">
        <v>1781.1500</v>
      </c>
      <c r="L11" s="13">
        <v>16500.9500</v>
      </c>
      <c r="M11" s="13">
        <v>1508.5100</v>
      </c>
      <c r="N11" s="13">
        <v>41619.7800</v>
      </c>
    </row>
    <row r="12" ht="10.95" customHeight="true" customFormat="true" s="9">
      <c r="A12" s="12" t="s">
        <v>22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8626.0900</v>
      </c>
      <c r="N12" s="13">
        <v>8626.0900</v>
      </c>
    </row>
    <row r="13" ht="10.95" customHeight="true" customFormat="true" s="9">
      <c r="A13" s="14" t="s">
        <v>23</v>
      </c>
      <c r="B13" s="15">
        <f ca="1">SUM(B8:B12)</f>
        <v>0</v>
      </c>
      <c r="C13" s="15">
        <f ca="1">SUM(C8:C12)</f>
        <v>0</v>
      </c>
      <c r="D13" s="15">
        <f ca="1">SUM(D8:D12)</f>
        <v>0</v>
      </c>
      <c r="E13" s="15">
        <f ca="1">SUM(E8:E12)</f>
        <v>0</v>
      </c>
      <c r="F13" s="15">
        <f ca="1">SUM(F8:F12)</f>
        <v>0</v>
      </c>
      <c r="G13" s="15">
        <f ca="1">SUM(G8:G12)</f>
        <v>0</v>
      </c>
      <c r="H13" s="15">
        <f ca="1">SUM(H8:H12)</f>
        <v>0</v>
      </c>
      <c r="I13" s="15">
        <f ca="1">SUM(I8:I12)</f>
        <v>0</v>
      </c>
      <c r="J13" s="15">
        <f ca="1">SUM(J8:J12)</f>
        <v>0</v>
      </c>
      <c r="K13" s="15">
        <f ca="1">SUM(K8:K12)</f>
        <v>0</v>
      </c>
      <c r="L13" s="15">
        <f ca="1">SUM(L8:L12)</f>
        <v>0</v>
      </c>
      <c r="M13" s="15">
        <f ca="1">SUM(M8:M12)</f>
        <v>0</v>
      </c>
      <c r="N13" s="15">
        <f ca="1">SUM(N8:N12)</f>
        <v>0</v>
      </c>
    </row>
    <row r="14" ht="13.35" customHeight="true"/>
    <row r="15" ht="12.1" customHeight="true" customFormat="true" s="5">
      <c r="A15" s="8" t="s">
        <v>24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0.95" customHeight="true" customFormat="true" s="9">
      <c r="A16" s="10" t="s">
        <v>25</v>
      </c>
      <c r="B16" s="11">
        <v>329062.7500</v>
      </c>
      <c r="C16" s="11">
        <v>331756.1500</v>
      </c>
      <c r="D16" s="11">
        <v>286022.5200</v>
      </c>
      <c r="E16" s="11">
        <v>368413.0800</v>
      </c>
      <c r="F16" s="11">
        <v>388940.4400</v>
      </c>
      <c r="G16" s="11">
        <v>435649.0300</v>
      </c>
      <c r="H16" s="11">
        <v>387151.4700</v>
      </c>
      <c r="I16" s="11">
        <v>371223.1600</v>
      </c>
      <c r="J16" s="11">
        <v>543099.7300</v>
      </c>
      <c r="K16" s="11">
        <v>348722.2600</v>
      </c>
      <c r="L16" s="11">
        <v>438816.7100</v>
      </c>
      <c r="M16" s="11">
        <v>486504.2200</v>
      </c>
      <c r="N16" s="11">
        <v>4715361.5200</v>
      </c>
    </row>
    <row r="17" ht="10.95" customHeight="true" customFormat="true" s="9">
      <c r="A17" s="12" t="s">
        <v>26</v>
      </c>
      <c r="B17" s="13">
        <v>142588.4500</v>
      </c>
      <c r="C17" s="13">
        <v>59664.6700</v>
      </c>
      <c r="D17" s="13">
        <v>91000.2300</v>
      </c>
      <c r="E17" s="13">
        <v>82992.2700</v>
      </c>
      <c r="F17" s="13">
        <v>151020.6600</v>
      </c>
      <c r="G17" s="13">
        <v>42571.0100</v>
      </c>
      <c r="H17" s="13">
        <v>53557.0400</v>
      </c>
      <c r="I17" s="13">
        <v>106531.2900</v>
      </c>
      <c r="J17" s="13">
        <v>5882.5400</v>
      </c>
      <c r="K17" s="13">
        <v>25855.9500</v>
      </c>
      <c r="L17" s="13">
        <v>45754.6000</v>
      </c>
      <c r="M17" s="13">
        <v>26401.5600</v>
      </c>
      <c r="N17" s="13">
        <v>833820.2700</v>
      </c>
    </row>
    <row r="18" ht="10.95" customHeight="true" customFormat="true" s="9">
      <c r="A18" s="12" t="s">
        <v>27</v>
      </c>
      <c r="B18" s="13">
        <v>16306.0100</v>
      </c>
      <c r="C18" s="13">
        <v>10322.8500</v>
      </c>
      <c r="D18" s="13">
        <v>12247.9000</v>
      </c>
      <c r="E18" s="13">
        <v>15465.3800</v>
      </c>
      <c r="F18" s="13">
        <v>26814.7300</v>
      </c>
      <c r="G18" s="13">
        <v>16399.8600</v>
      </c>
      <c r="H18" s="13">
        <v>5356.2200</v>
      </c>
      <c r="I18" s="13">
        <v>14850.0400</v>
      </c>
      <c r="J18" s="13">
        <v>13129.9800</v>
      </c>
      <c r="K18" s="13">
        <v>3706.2600</v>
      </c>
      <c r="L18" s="13">
        <v>850.9300</v>
      </c>
      <c r="M18" s="13">
        <v>3532.9500</v>
      </c>
      <c r="N18" s="13">
        <v>138983.1100</v>
      </c>
    </row>
    <row r="19" ht="10.95" customHeight="true" customFormat="true" s="9">
      <c r="A19" s="12" t="s">
        <v>28</v>
      </c>
      <c r="B19" s="13">
        <v>170.5000</v>
      </c>
      <c r="C19" s="13">
        <v>520.5800</v>
      </c>
      <c r="D19" s="13">
        <v>0</v>
      </c>
      <c r="E19" s="13">
        <v>107.8100</v>
      </c>
      <c r="F19" s="13">
        <v>75.4500</v>
      </c>
      <c r="G19" s="13">
        <v>206.6700</v>
      </c>
      <c r="H19" s="13">
        <v>2744.3400</v>
      </c>
      <c r="I19" s="13">
        <v>68.9100</v>
      </c>
      <c r="J19" s="13">
        <v>0</v>
      </c>
      <c r="K19" s="13">
        <v>134.9700</v>
      </c>
      <c r="L19" s="13">
        <v>4571.7400</v>
      </c>
      <c r="M19" s="13">
        <v>327.7600</v>
      </c>
      <c r="N19" s="13">
        <v>8928.7300</v>
      </c>
    </row>
    <row r="20" ht="10.95" customHeight="true" customFormat="true" s="9">
      <c r="A20" s="12" t="s">
        <v>29</v>
      </c>
      <c r="B20" s="13">
        <v>367.6500</v>
      </c>
      <c r="C20" s="13">
        <v>530.2700</v>
      </c>
      <c r="D20" s="13">
        <v>0</v>
      </c>
      <c r="E20" s="13">
        <v>686.5900</v>
      </c>
      <c r="F20" s="13">
        <v>1190.7900</v>
      </c>
      <c r="G20" s="13">
        <v>606.1400</v>
      </c>
      <c r="H20" s="13">
        <v>658.6100</v>
      </c>
      <c r="I20" s="13">
        <v>489.2400</v>
      </c>
      <c r="J20" s="13">
        <v>495.4100</v>
      </c>
      <c r="K20" s="13">
        <v>0</v>
      </c>
      <c r="L20" s="13">
        <v>2049.5100</v>
      </c>
      <c r="M20" s="13">
        <v>1091.9800</v>
      </c>
      <c r="N20" s="13">
        <v>8166.1900</v>
      </c>
    </row>
    <row r="21" ht="10.95" customHeight="true" customFormat="true" s="9">
      <c r="A21" s="12" t="s">
        <v>30</v>
      </c>
      <c r="B21" s="13">
        <v>145.7900</v>
      </c>
      <c r="C21" s="13">
        <v>104.2700</v>
      </c>
      <c r="D21" s="13">
        <v>98.8600</v>
      </c>
      <c r="E21" s="13">
        <v>199.7000</v>
      </c>
      <c r="F21" s="13">
        <v>282.2200</v>
      </c>
      <c r="G21" s="13">
        <v>294.6500</v>
      </c>
      <c r="H21" s="13">
        <v>441.2100</v>
      </c>
      <c r="I21" s="13">
        <v>79.2500</v>
      </c>
      <c r="J21" s="13">
        <v>238.3500</v>
      </c>
      <c r="K21" s="13">
        <v>53.0000</v>
      </c>
      <c r="L21" s="13">
        <v>363.6000</v>
      </c>
      <c r="M21" s="13">
        <v>203.3700</v>
      </c>
      <c r="N21" s="13">
        <v>2504.2700</v>
      </c>
    </row>
    <row r="22" ht="10.95" customHeight="true" customFormat="true" s="9">
      <c r="A22" s="12" t="s">
        <v>31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13.1100</v>
      </c>
      <c r="J22" s="13">
        <v>36.9600</v>
      </c>
      <c r="K22" s="13">
        <v>0</v>
      </c>
      <c r="L22" s="13">
        <v>215.1800</v>
      </c>
      <c r="M22" s="13">
        <v>208.9100</v>
      </c>
      <c r="N22" s="13">
        <v>474.1600</v>
      </c>
    </row>
    <row r="23" ht="10.95" customHeight="true" customFormat="true" s="9">
      <c r="A23" s="12" t="s">
        <v>32</v>
      </c>
      <c r="B23" s="13">
        <v>5125.3300</v>
      </c>
      <c r="C23" s="13">
        <v>14317.5900</v>
      </c>
      <c r="D23" s="13">
        <v>14212.8500</v>
      </c>
      <c r="E23" s="13">
        <v>7733.8800</v>
      </c>
      <c r="F23" s="13">
        <v>17886.2000</v>
      </c>
      <c r="G23" s="13">
        <v>11805.0900</v>
      </c>
      <c r="H23" s="13">
        <v>8309.3700</v>
      </c>
      <c r="I23" s="13">
        <v>5463.4100</v>
      </c>
      <c r="J23" s="13">
        <v>4540.4000</v>
      </c>
      <c r="K23" s="13">
        <v>3440.6900</v>
      </c>
      <c r="L23" s="13">
        <v>5042.7200</v>
      </c>
      <c r="M23" s="13">
        <v>4358.5100</v>
      </c>
      <c r="N23" s="13">
        <v>102236.0400</v>
      </c>
    </row>
    <row r="24" ht="10.95" customHeight="true" customFormat="true" s="9">
      <c r="A24" s="12" t="s">
        <v>33</v>
      </c>
      <c r="B24" s="13">
        <v>47680.0000</v>
      </c>
      <c r="C24" s="13">
        <v>55550.0000</v>
      </c>
      <c r="D24" s="13">
        <v>53510.0000</v>
      </c>
      <c r="E24" s="13">
        <v>55520.0000</v>
      </c>
      <c r="F24" s="13">
        <v>45440.0000</v>
      </c>
      <c r="G24" s="13">
        <v>69090.0000</v>
      </c>
      <c r="H24" s="13">
        <v>64840.0000</v>
      </c>
      <c r="I24" s="13">
        <v>67784.0000</v>
      </c>
      <c r="J24" s="13">
        <v>68000.0000</v>
      </c>
      <c r="K24" s="13">
        <v>68560.0000</v>
      </c>
      <c r="L24" s="13">
        <v>77439.0000</v>
      </c>
      <c r="M24" s="13">
        <v>78080.0000</v>
      </c>
      <c r="N24" s="13">
        <v>751493.0000</v>
      </c>
    </row>
    <row r="25" ht="10.95" customHeight="true" customFormat="true" s="9">
      <c r="A25" s="12" t="s">
        <v>34</v>
      </c>
      <c r="B25" s="13">
        <v>61153.0000</v>
      </c>
      <c r="C25" s="13">
        <v>76709.0000</v>
      </c>
      <c r="D25" s="13">
        <v>78345.0000</v>
      </c>
      <c r="E25" s="13">
        <v>89189.0000</v>
      </c>
      <c r="F25" s="13">
        <v>76687.0000</v>
      </c>
      <c r="G25" s="13">
        <v>84055.0000</v>
      </c>
      <c r="H25" s="13">
        <v>72221.0000</v>
      </c>
      <c r="I25" s="13">
        <v>74682.0000</v>
      </c>
      <c r="J25" s="13">
        <v>79394.0000</v>
      </c>
      <c r="K25" s="13">
        <v>73150.0000</v>
      </c>
      <c r="L25" s="13">
        <v>71212.0000</v>
      </c>
      <c r="M25" s="13">
        <v>71976.6700</v>
      </c>
      <c r="N25" s="13">
        <v>908773.6700</v>
      </c>
    </row>
    <row r="26" ht="10.95" customHeight="true" customFormat="true" s="9">
      <c r="A26" s="12" t="s">
        <v>35</v>
      </c>
      <c r="B26" s="13">
        <v>10231.3100</v>
      </c>
      <c r="C26" s="13">
        <v>509801.5900</v>
      </c>
      <c r="D26" s="13">
        <v>8238.7800</v>
      </c>
      <c r="E26" s="13">
        <v>10707.6700</v>
      </c>
      <c r="F26" s="13">
        <v>13281.8400</v>
      </c>
      <c r="G26" s="13">
        <v>363152.1400</v>
      </c>
      <c r="H26" s="13">
        <v>408440.0400</v>
      </c>
      <c r="I26" s="13">
        <v>293888.3800</v>
      </c>
      <c r="J26" s="13">
        <v>14403.4300</v>
      </c>
      <c r="K26" s="13">
        <v>10915.8300</v>
      </c>
      <c r="L26" s="13">
        <v>10992.3500</v>
      </c>
      <c r="M26" s="13">
        <v>134038.5100</v>
      </c>
      <c r="N26" s="13">
        <v>1788091.8700</v>
      </c>
    </row>
    <row r="27" ht="10.95" customHeight="true" customFormat="true" s="9">
      <c r="A27" s="12" t="s">
        <v>36</v>
      </c>
      <c r="B27" s="13">
        <v>273.2500</v>
      </c>
      <c r="C27" s="13">
        <v>0</v>
      </c>
      <c r="D27" s="13">
        <v>126.6700</v>
      </c>
      <c r="E27" s="13">
        <v>163.7700</v>
      </c>
      <c r="F27" s="13">
        <v>207.2000</v>
      </c>
      <c r="G27" s="13">
        <v>145.6700</v>
      </c>
      <c r="H27" s="13">
        <v>0</v>
      </c>
      <c r="I27" s="13">
        <v>227.0900</v>
      </c>
      <c r="J27" s="13">
        <v>141.9300</v>
      </c>
      <c r="K27" s="13">
        <v>188.2900</v>
      </c>
      <c r="L27" s="13">
        <v>0</v>
      </c>
      <c r="M27" s="13">
        <v>199.6500</v>
      </c>
      <c r="N27" s="13">
        <v>1673.5200</v>
      </c>
    </row>
    <row r="28" ht="10.95" customHeight="true" customFormat="true" s="9">
      <c r="A28" s="12" t="s">
        <v>37</v>
      </c>
      <c r="B28" s="13">
        <v>1468.5600</v>
      </c>
      <c r="C28" s="13">
        <v>598.1500</v>
      </c>
      <c r="D28" s="13">
        <v>1230.4300</v>
      </c>
      <c r="E28" s="13">
        <v>2061.8400</v>
      </c>
      <c r="F28" s="13">
        <v>1515.5200</v>
      </c>
      <c r="G28" s="13">
        <v>1357.4500</v>
      </c>
      <c r="H28" s="13">
        <v>882.2000</v>
      </c>
      <c r="I28" s="13">
        <v>1354.9200</v>
      </c>
      <c r="J28" s="13">
        <v>1709.6500</v>
      </c>
      <c r="K28" s="13">
        <v>3607.2200</v>
      </c>
      <c r="L28" s="13">
        <v>500.1000</v>
      </c>
      <c r="M28" s="13">
        <v>3721.0800</v>
      </c>
      <c r="N28" s="13">
        <v>20007.1200</v>
      </c>
    </row>
    <row r="29" ht="10.95" customHeight="true" customFormat="true" s="9">
      <c r="A29" s="12" t="s">
        <v>38</v>
      </c>
      <c r="B29" s="13">
        <v>14410.7800</v>
      </c>
      <c r="C29" s="13">
        <v>8744.4500</v>
      </c>
      <c r="D29" s="13">
        <v>1885.9000</v>
      </c>
      <c r="E29" s="13">
        <v>2048.5000</v>
      </c>
      <c r="F29" s="13">
        <v>4041.1800</v>
      </c>
      <c r="G29" s="13">
        <v>6175.2600</v>
      </c>
      <c r="H29" s="13">
        <v>2618.9100</v>
      </c>
      <c r="I29" s="13">
        <v>2581.1800</v>
      </c>
      <c r="J29" s="13">
        <v>5468.1600</v>
      </c>
      <c r="K29" s="13">
        <v>6713.8400</v>
      </c>
      <c r="L29" s="13">
        <v>1986.2000</v>
      </c>
      <c r="M29" s="13">
        <v>1663.8100</v>
      </c>
      <c r="N29" s="13">
        <v>58338.1700</v>
      </c>
    </row>
    <row r="30" ht="10.95" customHeight="true" customFormat="true" s="9">
      <c r="A30" s="12" t="s">
        <v>39</v>
      </c>
      <c r="B30" s="13">
        <v>717.8500</v>
      </c>
      <c r="C30" s="13">
        <v>331.7000</v>
      </c>
      <c r="D30" s="13">
        <v>1418.7900</v>
      </c>
      <c r="E30" s="13">
        <v>365.4000</v>
      </c>
      <c r="F30" s="13">
        <v>132.7500</v>
      </c>
      <c r="G30" s="13">
        <v>611.8500</v>
      </c>
      <c r="H30" s="13">
        <v>484.6500</v>
      </c>
      <c r="I30" s="13">
        <v>561.9500</v>
      </c>
      <c r="J30" s="13">
        <v>1367.6000</v>
      </c>
      <c r="K30" s="13">
        <v>947.3500</v>
      </c>
      <c r="L30" s="13">
        <v>232.0000</v>
      </c>
      <c r="M30" s="13">
        <v>1306.8300</v>
      </c>
      <c r="N30" s="13">
        <v>8478.7200</v>
      </c>
    </row>
    <row r="31" ht="10.95" customHeight="true" customFormat="true" s="9">
      <c r="A31" s="12" t="s">
        <v>40</v>
      </c>
      <c r="B31" s="13">
        <v>1988.5500</v>
      </c>
      <c r="C31" s="13">
        <v>1960.0000</v>
      </c>
      <c r="D31" s="13">
        <v>1628.3800</v>
      </c>
      <c r="E31" s="13">
        <v>2287.9000</v>
      </c>
      <c r="F31" s="13">
        <v>2163.9500</v>
      </c>
      <c r="G31" s="13">
        <v>2182.0000</v>
      </c>
      <c r="H31" s="13">
        <v>1974.0000</v>
      </c>
      <c r="I31" s="13">
        <v>2549.3200</v>
      </c>
      <c r="J31" s="13">
        <v>2490.9400</v>
      </c>
      <c r="K31" s="13">
        <v>2274.2500</v>
      </c>
      <c r="L31" s="13">
        <v>2094.5200</v>
      </c>
      <c r="M31" s="13">
        <v>2177.3600</v>
      </c>
      <c r="N31" s="13">
        <v>25771.1700</v>
      </c>
    </row>
    <row r="32" ht="10.95" customHeight="true" customFormat="true" s="9">
      <c r="A32" s="12" t="s">
        <v>41</v>
      </c>
      <c r="B32" s="13">
        <v>4972.9900</v>
      </c>
      <c r="C32" s="13">
        <v>2949.0100</v>
      </c>
      <c r="D32" s="13">
        <v>1056.5200</v>
      </c>
      <c r="E32" s="13">
        <v>2347.3900</v>
      </c>
      <c r="F32" s="13">
        <v>9167.3900</v>
      </c>
      <c r="G32" s="13">
        <v>4120.0300</v>
      </c>
      <c r="H32" s="13">
        <v>1276.2300</v>
      </c>
      <c r="I32" s="13">
        <v>2023.7200</v>
      </c>
      <c r="J32" s="13">
        <v>588.9200</v>
      </c>
      <c r="K32" s="13">
        <v>4616.1900</v>
      </c>
      <c r="L32" s="13">
        <v>15478.8800</v>
      </c>
      <c r="M32" s="13">
        <v>8567.8200</v>
      </c>
      <c r="N32" s="13">
        <v>57165.0900</v>
      </c>
    </row>
    <row r="33" ht="10.95" customHeight="true" customFormat="true" s="9">
      <c r="A33" s="12" t="s">
        <v>42</v>
      </c>
      <c r="B33" s="13">
        <v>0</v>
      </c>
      <c r="C33" s="13">
        <v>0</v>
      </c>
      <c r="D33" s="13">
        <v>1419.0000</v>
      </c>
      <c r="E33" s="13">
        <v>700.0000</v>
      </c>
      <c r="F33" s="13">
        <v>0</v>
      </c>
      <c r="G33" s="13">
        <v>0</v>
      </c>
      <c r="H33" s="13">
        <v>1226.0000</v>
      </c>
      <c r="I33" s="13">
        <v>0</v>
      </c>
      <c r="J33" s="13">
        <v>204.0000</v>
      </c>
      <c r="K33" s="13">
        <v>505.1700</v>
      </c>
      <c r="L33" s="13">
        <v>352.0000</v>
      </c>
      <c r="M33" s="13">
        <v>514.0000</v>
      </c>
      <c r="N33" s="13">
        <v>4920.1700</v>
      </c>
    </row>
    <row r="34" ht="10.95" customHeight="true" customFormat="true" s="9">
      <c r="A34" s="12" t="s">
        <v>43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15148.3300</v>
      </c>
      <c r="I34" s="13">
        <v>0</v>
      </c>
      <c r="J34" s="13">
        <v>0</v>
      </c>
      <c r="K34" s="13">
        <v>46047.6200</v>
      </c>
      <c r="L34" s="13">
        <v>0</v>
      </c>
      <c r="M34" s="13">
        <v>0</v>
      </c>
      <c r="N34" s="13">
        <v>61195.9500</v>
      </c>
    </row>
    <row r="35" ht="10.95" customHeight="true" customFormat="true" s="9">
      <c r="A35" s="12" t="s">
        <v>44</v>
      </c>
      <c r="B35" s="13">
        <v>1292.6000</v>
      </c>
      <c r="C35" s="13">
        <v>760.0000</v>
      </c>
      <c r="D35" s="13">
        <v>1382.3000</v>
      </c>
      <c r="E35" s="13">
        <v>1651.0500</v>
      </c>
      <c r="F35" s="13">
        <v>46.8800</v>
      </c>
      <c r="G35" s="13">
        <v>1350.0000</v>
      </c>
      <c r="H35" s="13">
        <v>3124.2000</v>
      </c>
      <c r="I35" s="13">
        <v>18916.9500</v>
      </c>
      <c r="J35" s="13">
        <v>1311.2600</v>
      </c>
      <c r="K35" s="13">
        <v>6125.6100</v>
      </c>
      <c r="L35" s="13">
        <v>3701.3000</v>
      </c>
      <c r="M35" s="13">
        <v>1315.0500</v>
      </c>
      <c r="N35" s="13">
        <v>40977.2000</v>
      </c>
    </row>
    <row r="36" ht="10.95" customHeight="true" customFormat="true" s="9">
      <c r="A36" s="12" t="s">
        <v>45</v>
      </c>
      <c r="B36" s="13">
        <v>16804.2400</v>
      </c>
      <c r="C36" s="13">
        <v>19595.0700</v>
      </c>
      <c r="D36" s="13">
        <v>15339.7300</v>
      </c>
      <c r="E36" s="13">
        <v>19528.0600</v>
      </c>
      <c r="F36" s="13">
        <v>20733.3900</v>
      </c>
      <c r="G36" s="13">
        <v>18262.4900</v>
      </c>
      <c r="H36" s="13">
        <v>20349.1100</v>
      </c>
      <c r="I36" s="13">
        <v>20959.6400</v>
      </c>
      <c r="J36" s="13">
        <v>20004.5400</v>
      </c>
      <c r="K36" s="13">
        <v>21722.3500</v>
      </c>
      <c r="L36" s="13">
        <v>22892.8400</v>
      </c>
      <c r="M36" s="13">
        <v>22457.2100</v>
      </c>
      <c r="N36" s="13">
        <v>238648.6700</v>
      </c>
    </row>
    <row r="37" ht="10.95" customHeight="true" customFormat="true" s="9">
      <c r="A37" s="12" t="s">
        <v>46</v>
      </c>
      <c r="B37" s="13">
        <v>665.1500</v>
      </c>
      <c r="C37" s="13">
        <v>0</v>
      </c>
      <c r="D37" s="13">
        <v>0</v>
      </c>
      <c r="E37" s="13">
        <v>5000.0000</v>
      </c>
      <c r="F37" s="13">
        <v>0</v>
      </c>
      <c r="G37" s="13">
        <v>0</v>
      </c>
      <c r="H37" s="13">
        <v>400.0000</v>
      </c>
      <c r="I37" s="13">
        <v>0</v>
      </c>
      <c r="J37" s="13">
        <v>0</v>
      </c>
      <c r="K37" s="13">
        <v>0</v>
      </c>
      <c r="L37" s="13">
        <v>5100.0000</v>
      </c>
      <c r="M37" s="13">
        <v>0</v>
      </c>
      <c r="N37" s="13">
        <v>11165.1500</v>
      </c>
    </row>
    <row r="38" ht="10.95" customHeight="true" customFormat="true" s="9">
      <c r="A38" s="12" t="s">
        <v>47</v>
      </c>
      <c r="B38" s="13">
        <v>108.0000</v>
      </c>
      <c r="C38" s="13">
        <v>74.5000</v>
      </c>
      <c r="D38" s="13">
        <v>378.5200</v>
      </c>
      <c r="E38" s="13">
        <v>180.0000</v>
      </c>
      <c r="F38" s="13">
        <v>3412.5000</v>
      </c>
      <c r="G38" s="13">
        <v>3759.0000</v>
      </c>
      <c r="H38" s="13">
        <v>300.0000</v>
      </c>
      <c r="I38" s="13">
        <v>1510.7800</v>
      </c>
      <c r="J38" s="13">
        <v>945.8700</v>
      </c>
      <c r="K38" s="13">
        <v>30.0000</v>
      </c>
      <c r="L38" s="13">
        <v>953.4800</v>
      </c>
      <c r="M38" s="13">
        <v>2576.2000</v>
      </c>
      <c r="N38" s="13">
        <v>14228.8500</v>
      </c>
    </row>
    <row r="39" ht="10.95" customHeight="true" customFormat="true" s="9">
      <c r="A39" s="12" t="s">
        <v>48</v>
      </c>
      <c r="B39" s="13">
        <v>0</v>
      </c>
      <c r="C39" s="13">
        <v>2266.5200</v>
      </c>
      <c r="D39" s="13">
        <v>2191.3200</v>
      </c>
      <c r="E39" s="13">
        <v>2231.0000</v>
      </c>
      <c r="F39" s="13">
        <v>6882.6100</v>
      </c>
      <c r="G39" s="13">
        <v>0</v>
      </c>
      <c r="H39" s="13">
        <v>0</v>
      </c>
      <c r="I39" s="13">
        <v>7613.8200</v>
      </c>
      <c r="J39" s="13">
        <v>5848.1400</v>
      </c>
      <c r="K39" s="13">
        <v>8576.0900</v>
      </c>
      <c r="L39" s="13">
        <v>0</v>
      </c>
      <c r="M39" s="13">
        <v>2439.8100</v>
      </c>
      <c r="N39" s="13">
        <v>38049.3100</v>
      </c>
    </row>
    <row r="40" ht="10.95" customHeight="true" customFormat="true" s="9">
      <c r="A40" s="12" t="s">
        <v>49</v>
      </c>
      <c r="B40" s="13">
        <v>506.0000</v>
      </c>
      <c r="C40" s="13">
        <v>1100.0000</v>
      </c>
      <c r="D40" s="13">
        <v>1669.0100</v>
      </c>
      <c r="E40" s="13">
        <v>224.2500</v>
      </c>
      <c r="F40" s="13">
        <v>2734.0000</v>
      </c>
      <c r="G40" s="13">
        <v>2873.0000</v>
      </c>
      <c r="H40" s="13">
        <v>2244.0000</v>
      </c>
      <c r="I40" s="13">
        <v>2758.0000</v>
      </c>
      <c r="J40" s="13">
        <v>2728.0000</v>
      </c>
      <c r="K40" s="13">
        <v>2528.0000</v>
      </c>
      <c r="L40" s="13">
        <v>1679.0000</v>
      </c>
      <c r="M40" s="13">
        <v>1679.0000</v>
      </c>
      <c r="N40" s="13">
        <v>22722.2600</v>
      </c>
    </row>
    <row r="41" ht="10.95" customHeight="true" customFormat="true" s="9">
      <c r="A41" s="12" t="s">
        <v>50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51250.0200</v>
      </c>
      <c r="N41" s="13">
        <v>51250.0200</v>
      </c>
    </row>
    <row r="42" ht="10.95" customHeight="true" customFormat="true" s="9">
      <c r="A42" s="12" t="s">
        <v>51</v>
      </c>
      <c r="B42" s="13">
        <v>0</v>
      </c>
      <c r="C42" s="13">
        <v>4000.0000</v>
      </c>
      <c r="D42" s="13">
        <v>904.3500</v>
      </c>
      <c r="E42" s="13">
        <v>350.0000</v>
      </c>
      <c r="F42" s="13">
        <v>8058.9100</v>
      </c>
      <c r="G42" s="13">
        <v>250.0000</v>
      </c>
      <c r="H42" s="13">
        <v>0</v>
      </c>
      <c r="I42" s="13">
        <v>1528.2600</v>
      </c>
      <c r="J42" s="13">
        <v>3500.0000</v>
      </c>
      <c r="K42" s="13">
        <v>0</v>
      </c>
      <c r="L42" s="13">
        <v>1201.9700</v>
      </c>
      <c r="M42" s="13">
        <v>7455.6500</v>
      </c>
      <c r="N42" s="13">
        <v>27249.1400</v>
      </c>
    </row>
    <row r="43" ht="10.95" customHeight="true" customFormat="true" s="9">
      <c r="A43" s="12" t="s">
        <v>52</v>
      </c>
      <c r="B43" s="13">
        <v>15450.0000</v>
      </c>
      <c r="C43" s="13">
        <v>6000.0000</v>
      </c>
      <c r="D43" s="13">
        <v>22812.0000</v>
      </c>
      <c r="E43" s="13">
        <v>16000.0000</v>
      </c>
      <c r="F43" s="13">
        <v>17600.0000</v>
      </c>
      <c r="G43" s="13">
        <v>5175.0000</v>
      </c>
      <c r="H43" s="13">
        <v>8925.0000</v>
      </c>
      <c r="I43" s="13">
        <v>0</v>
      </c>
      <c r="J43" s="13">
        <v>19462.0000</v>
      </c>
      <c r="K43" s="13">
        <v>19825.0000</v>
      </c>
      <c r="L43" s="13">
        <v>37901.0000</v>
      </c>
      <c r="M43" s="13">
        <v>0</v>
      </c>
      <c r="N43" s="13">
        <v>169150.0000</v>
      </c>
    </row>
    <row r="44" ht="10.95" customHeight="true" customFormat="true" s="9">
      <c r="A44" s="12" t="s">
        <v>53</v>
      </c>
      <c r="B44" s="13">
        <v>0</v>
      </c>
      <c r="C44" s="13">
        <v>0</v>
      </c>
      <c r="D44" s="13">
        <v>0</v>
      </c>
      <c r="E44" s="13">
        <v>684.5400</v>
      </c>
      <c r="F44" s="13">
        <v>3050.0500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3734.5900</v>
      </c>
    </row>
    <row r="45" ht="10.95" customHeight="true" customFormat="true" s="9">
      <c r="A45" s="12" t="s">
        <v>54</v>
      </c>
      <c r="B45" s="13">
        <v>0</v>
      </c>
      <c r="C45" s="13">
        <v>8113.5300</v>
      </c>
      <c r="D45" s="13">
        <v>587.0000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934.3900</v>
      </c>
      <c r="L45" s="13">
        <v>2776.7000</v>
      </c>
      <c r="M45" s="13">
        <v>2500.0000</v>
      </c>
      <c r="N45" s="13">
        <v>14911.6200</v>
      </c>
    </row>
    <row r="46" ht="10.95" customHeight="true" customFormat="true" s="9">
      <c r="A46" s="12" t="s">
        <v>55</v>
      </c>
      <c r="B46" s="13">
        <v>0</v>
      </c>
      <c r="C46" s="13">
        <v>1770.0000</v>
      </c>
      <c r="D46" s="13">
        <v>1560.4300</v>
      </c>
      <c r="E46" s="13">
        <v>3600.0000</v>
      </c>
      <c r="F46" s="13">
        <v>0</v>
      </c>
      <c r="G46" s="13">
        <v>2738.7900</v>
      </c>
      <c r="H46" s="13">
        <v>0</v>
      </c>
      <c r="I46" s="13">
        <v>0</v>
      </c>
      <c r="J46" s="13">
        <v>0</v>
      </c>
      <c r="K46" s="13">
        <v>695.6500</v>
      </c>
      <c r="L46" s="13">
        <v>0</v>
      </c>
      <c r="M46" s="13">
        <v>454.7300</v>
      </c>
      <c r="N46" s="13">
        <v>10819.6000</v>
      </c>
    </row>
    <row r="47" ht="10.95" customHeight="true" customFormat="true" s="9">
      <c r="A47" s="12" t="s">
        <v>56</v>
      </c>
      <c r="B47" s="13">
        <v>3991.0000</v>
      </c>
      <c r="C47" s="13">
        <v>5380.0000</v>
      </c>
      <c r="D47" s="13">
        <v>444.0000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925.0000</v>
      </c>
      <c r="M47" s="13">
        <v>7878.0000</v>
      </c>
      <c r="N47" s="13">
        <v>18618.0000</v>
      </c>
    </row>
    <row r="48" ht="10.95" customHeight="true" customFormat="true" s="9">
      <c r="A48" s="12" t="s">
        <v>57</v>
      </c>
      <c r="B48" s="13">
        <v>30.0000</v>
      </c>
      <c r="C48" s="13">
        <v>0</v>
      </c>
      <c r="D48" s="13">
        <v>0</v>
      </c>
      <c r="E48" s="13">
        <v>55.0000</v>
      </c>
      <c r="F48" s="13">
        <v>19.0000</v>
      </c>
      <c r="G48" s="13">
        <v>20.0000</v>
      </c>
      <c r="H48" s="13">
        <v>0</v>
      </c>
      <c r="I48" s="13">
        <v>30.0000</v>
      </c>
      <c r="J48" s="13">
        <v>210.0000</v>
      </c>
      <c r="K48" s="13">
        <v>80.0000</v>
      </c>
      <c r="L48" s="13">
        <v>418.4000</v>
      </c>
      <c r="M48" s="13">
        <v>53.3700</v>
      </c>
      <c r="N48" s="13">
        <v>915.7700</v>
      </c>
    </row>
    <row r="49" ht="10.95" customHeight="true" customFormat="true" s="9">
      <c r="A49" s="12" t="s">
        <v>58</v>
      </c>
      <c r="B49" s="13">
        <v>0</v>
      </c>
      <c r="C49" s="13">
        <v>253.5000</v>
      </c>
      <c r="D49" s="13">
        <v>308.7500</v>
      </c>
      <c r="E49" s="13">
        <v>0</v>
      </c>
      <c r="F49" s="13">
        <v>0</v>
      </c>
      <c r="G49" s="13">
        <v>600.6000</v>
      </c>
      <c r="H49" s="13">
        <v>0</v>
      </c>
      <c r="I49" s="13">
        <v>0</v>
      </c>
      <c r="J49" s="13">
        <v>4203.5000</v>
      </c>
      <c r="K49" s="13">
        <v>0</v>
      </c>
      <c r="L49" s="13">
        <v>-235.5300</v>
      </c>
      <c r="M49" s="13">
        <v>255.0000</v>
      </c>
      <c r="N49" s="13">
        <v>5385.8200</v>
      </c>
    </row>
    <row r="50" ht="10.95" customHeight="true" customFormat="true" s="9">
      <c r="A50" s="12" t="s">
        <v>59</v>
      </c>
      <c r="B50" s="13">
        <v>103.0000</v>
      </c>
      <c r="C50" s="13">
        <v>2565.6800</v>
      </c>
      <c r="D50" s="13">
        <v>953.2400</v>
      </c>
      <c r="E50" s="13">
        <v>160.5000</v>
      </c>
      <c r="F50" s="13">
        <v>2736.6300</v>
      </c>
      <c r="G50" s="13">
        <v>191.0000</v>
      </c>
      <c r="H50" s="13">
        <v>449.4800</v>
      </c>
      <c r="I50" s="13">
        <v>196.9100</v>
      </c>
      <c r="J50" s="13">
        <v>508.6500</v>
      </c>
      <c r="K50" s="13">
        <v>171.6000</v>
      </c>
      <c r="L50" s="13">
        <v>950.0000</v>
      </c>
      <c r="M50" s="13">
        <v>0</v>
      </c>
      <c r="N50" s="13">
        <v>8986.6900</v>
      </c>
    </row>
    <row r="51" ht="10.95" customHeight="true" customFormat="true" s="9">
      <c r="A51" s="12" t="s">
        <v>60</v>
      </c>
      <c r="B51" s="13">
        <v>3115.0000</v>
      </c>
      <c r="C51" s="13">
        <v>2396.0000</v>
      </c>
      <c r="D51" s="13">
        <v>0</v>
      </c>
      <c r="E51" s="13">
        <v>0</v>
      </c>
      <c r="F51" s="13">
        <v>20498.5400</v>
      </c>
      <c r="G51" s="13">
        <v>749.7000</v>
      </c>
      <c r="H51" s="13">
        <v>700.0000</v>
      </c>
      <c r="I51" s="13">
        <v>3000.0000</v>
      </c>
      <c r="J51" s="13">
        <v>0</v>
      </c>
      <c r="K51" s="13">
        <v>0</v>
      </c>
      <c r="L51" s="13">
        <v>0</v>
      </c>
      <c r="M51" s="13">
        <v>0</v>
      </c>
      <c r="N51" s="13">
        <v>30459.2400</v>
      </c>
    </row>
    <row r="52" ht="10.95" customHeight="true" customFormat="true" s="9">
      <c r="A52" s="12" t="s">
        <v>61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54000.0000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75000.0000</v>
      </c>
      <c r="N52" s="13">
        <v>129000.0000</v>
      </c>
    </row>
    <row r="53" ht="10.95" customHeight="true" customFormat="true" s="9">
      <c r="A53" s="12" t="s">
        <v>62</v>
      </c>
      <c r="B53" s="13">
        <v>0</v>
      </c>
      <c r="C53" s="13">
        <v>0</v>
      </c>
      <c r="D53" s="13">
        <v>3913.0500</v>
      </c>
      <c r="E53" s="13">
        <v>0</v>
      </c>
      <c r="F53" s="13">
        <v>478.2600</v>
      </c>
      <c r="G53" s="13">
        <v>50.0000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4441.3100</v>
      </c>
    </row>
    <row r="54" ht="10.95" customHeight="true" customFormat="true" s="9">
      <c r="A54" s="12" t="s">
        <v>63</v>
      </c>
      <c r="B54" s="13">
        <v>0</v>
      </c>
      <c r="C54" s="13">
        <v>7898.3400</v>
      </c>
      <c r="D54" s="13">
        <v>8004.3200</v>
      </c>
      <c r="E54" s="13">
        <v>40.0000</v>
      </c>
      <c r="F54" s="13">
        <v>0</v>
      </c>
      <c r="G54" s="13">
        <v>0</v>
      </c>
      <c r="H54" s="13">
        <v>0</v>
      </c>
      <c r="I54" s="13">
        <v>3325.0000</v>
      </c>
      <c r="J54" s="13">
        <v>16474.5600</v>
      </c>
      <c r="K54" s="13">
        <v>26564.6100</v>
      </c>
      <c r="L54" s="13">
        <v>3652.1600</v>
      </c>
      <c r="M54" s="13">
        <v>390.0000</v>
      </c>
      <c r="N54" s="13">
        <v>66348.9900</v>
      </c>
    </row>
    <row r="55" ht="10.95" customHeight="true" customFormat="true" s="9">
      <c r="A55" s="12" t="s">
        <v>64</v>
      </c>
      <c r="B55" s="13">
        <v>16800.0000</v>
      </c>
      <c r="C55" s="13">
        <v>0</v>
      </c>
      <c r="D55" s="13">
        <v>0</v>
      </c>
      <c r="E55" s="13">
        <v>0</v>
      </c>
      <c r="F55" s="13">
        <v>2400.0000</v>
      </c>
      <c r="G55" s="13">
        <v>0</v>
      </c>
      <c r="H55" s="13">
        <v>0</v>
      </c>
      <c r="I55" s="13">
        <v>0</v>
      </c>
      <c r="J55" s="13">
        <v>0</v>
      </c>
      <c r="K55" s="13">
        <v>25200.0000</v>
      </c>
      <c r="L55" s="13">
        <v>2400.0000</v>
      </c>
      <c r="M55" s="13">
        <v>0</v>
      </c>
      <c r="N55" s="13">
        <v>46800.0000</v>
      </c>
    </row>
    <row r="56" ht="10.95" customHeight="true" customFormat="true" s="9">
      <c r="A56" s="14" t="s">
        <v>65</v>
      </c>
      <c r="B56" s="15">
        <f ca="1">SUM(B16:B55)</f>
        <v>0</v>
      </c>
      <c r="C56" s="15">
        <f ca="1">SUM(C16:C55)</f>
        <v>0</v>
      </c>
      <c r="D56" s="15">
        <f ca="1">SUM(D16:D55)</f>
        <v>0</v>
      </c>
      <c r="E56" s="15">
        <f ca="1">SUM(E16:E55)</f>
        <v>0</v>
      </c>
      <c r="F56" s="15">
        <f ca="1">SUM(F16:F55)</f>
        <v>0</v>
      </c>
      <c r="G56" s="15">
        <f ca="1">SUM(G16:G55)</f>
        <v>0</v>
      </c>
      <c r="H56" s="15">
        <f ca="1">SUM(H16:H55)</f>
        <v>0</v>
      </c>
      <c r="I56" s="15">
        <f ca="1">SUM(I16:I55)</f>
        <v>0</v>
      </c>
      <c r="J56" s="15">
        <f ca="1">SUM(J16:J55)</f>
        <v>0</v>
      </c>
      <c r="K56" s="15">
        <f ca="1">SUM(K16:K55)</f>
        <v>0</v>
      </c>
      <c r="L56" s="15">
        <f ca="1">SUM(L16:L55)</f>
        <v>0</v>
      </c>
      <c r="M56" s="15">
        <f ca="1">SUM(M16:M55)</f>
        <v>0</v>
      </c>
      <c r="N56" s="15">
        <f ca="1">SUM(N16:N55)</f>
        <v>0</v>
      </c>
    </row>
    <row r="57" ht="13.35" customHeight="true"/>
    <row r="58" ht="10.95" customHeight="true" customFormat="true" s="9">
      <c r="A58" s="16" t="s">
        <v>66</v>
      </c>
      <c r="B58" s="17">
        <f ca="1">(B13 - B56)</f>
        <v>0</v>
      </c>
      <c r="C58" s="17">
        <f ca="1">(C13 - C56)</f>
        <v>0</v>
      </c>
      <c r="D58" s="17">
        <f ca="1">(D13 - D56)</f>
        <v>0</v>
      </c>
      <c r="E58" s="17">
        <f ca="1">(E13 - E56)</f>
        <v>0</v>
      </c>
      <c r="F58" s="17">
        <f ca="1">(F13 - F56)</f>
        <v>0</v>
      </c>
      <c r="G58" s="17">
        <f ca="1">(G13 - G56)</f>
        <v>0</v>
      </c>
      <c r="H58" s="17">
        <f ca="1">(H13 - H56)</f>
        <v>0</v>
      </c>
      <c r="I58" s="17">
        <f ca="1">(I13 - I56)</f>
        <v>0</v>
      </c>
      <c r="J58" s="17">
        <f ca="1">(J13 - J56)</f>
        <v>0</v>
      </c>
      <c r="K58" s="17">
        <f ca="1">(K13 - K56)</f>
        <v>0</v>
      </c>
      <c r="L58" s="17">
        <f ca="1">(L13 - L56)</f>
        <v>0</v>
      </c>
      <c r="M58" s="17">
        <f ca="1">(M13 - M56)</f>
        <v>0</v>
      </c>
      <c r="N58" s="17">
        <f ca="1">(N13 - N56)</f>
        <v>0</v>
      </c>
    </row>
    <row r="59" ht="13.35" customHeight="true"/>
    <row r="60" ht="12.1" customHeight="true" customFormat="true" s="5">
      <c r="A60" s="8" t="s">
        <v>67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0.95" customHeight="true" customFormat="true" s="9">
      <c r="A61" s="10" t="s">
        <v>68</v>
      </c>
      <c r="B61" s="11">
        <v>174.4900</v>
      </c>
      <c r="C61" s="11">
        <v>223.5000</v>
      </c>
      <c r="D61" s="11">
        <v>136.0000</v>
      </c>
      <c r="E61" s="11">
        <v>92.0000</v>
      </c>
      <c r="F61" s="11">
        <v>117.5000</v>
      </c>
      <c r="G61" s="11">
        <v>56.0000</v>
      </c>
      <c r="H61" s="11">
        <v>115.5000</v>
      </c>
      <c r="I61" s="11">
        <v>108.0000</v>
      </c>
      <c r="J61" s="11">
        <v>304.0000</v>
      </c>
      <c r="K61" s="11">
        <v>236.2000</v>
      </c>
      <c r="L61" s="11">
        <v>886.0000</v>
      </c>
      <c r="M61" s="11">
        <v>412.0000</v>
      </c>
      <c r="N61" s="11">
        <v>2861.1900</v>
      </c>
    </row>
    <row r="62" ht="10.95" customHeight="true" customFormat="true" s="9">
      <c r="A62" s="14" t="s">
        <v>69</v>
      </c>
      <c r="B62" s="15">
        <f ca="1">B61</f>
        <v>0</v>
      </c>
      <c r="C62" s="15">
        <f ca="1">C61</f>
        <v>0</v>
      </c>
      <c r="D62" s="15">
        <f ca="1">D61</f>
        <v>0</v>
      </c>
      <c r="E62" s="15">
        <f ca="1">E61</f>
        <v>0</v>
      </c>
      <c r="F62" s="15">
        <f ca="1">F61</f>
        <v>0</v>
      </c>
      <c r="G62" s="15">
        <f ca="1">G61</f>
        <v>0</v>
      </c>
      <c r="H62" s="15">
        <f ca="1">H61</f>
        <v>0</v>
      </c>
      <c r="I62" s="15">
        <f ca="1">I61</f>
        <v>0</v>
      </c>
      <c r="J62" s="15">
        <f ca="1">J61</f>
        <v>0</v>
      </c>
      <c r="K62" s="15">
        <f ca="1">K61</f>
        <v>0</v>
      </c>
      <c r="L62" s="15">
        <f ca="1">L61</f>
        <v>0</v>
      </c>
      <c r="M62" s="15">
        <f ca="1">M61</f>
        <v>0</v>
      </c>
      <c r="N62" s="15">
        <f ca="1">N61</f>
        <v>0</v>
      </c>
    </row>
    <row r="63" ht="13.35" customHeight="true"/>
    <row r="64" ht="12.1" customHeight="true" customFormat="true" s="5">
      <c r="A64" s="8" t="s">
        <v>70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0.95" customHeight="true" customFormat="true" s="9">
      <c r="A65" s="10" t="s">
        <v>71</v>
      </c>
      <c r="B65" s="11">
        <v>114334.0000</v>
      </c>
      <c r="C65" s="11">
        <v>108117.1800</v>
      </c>
      <c r="D65" s="11">
        <v>105383.0000</v>
      </c>
      <c r="E65" s="11">
        <v>107931.0000</v>
      </c>
      <c r="F65" s="11">
        <v>108007.0000</v>
      </c>
      <c r="G65" s="11">
        <v>109524.0000</v>
      </c>
      <c r="H65" s="11">
        <v>106846.0000</v>
      </c>
      <c r="I65" s="11">
        <v>109645.0000</v>
      </c>
      <c r="J65" s="11">
        <v>111133.0000</v>
      </c>
      <c r="K65" s="11">
        <v>108873.0000</v>
      </c>
      <c r="L65" s="11">
        <v>111730.0000</v>
      </c>
      <c r="M65" s="11">
        <v>113549.1300</v>
      </c>
      <c r="N65" s="11">
        <v>1315072.3100</v>
      </c>
    </row>
    <row r="66" ht="10.95" customHeight="true" customFormat="true" s="9">
      <c r="A66" s="12" t="s">
        <v>72</v>
      </c>
      <c r="B66" s="13">
        <v>4800.0000</v>
      </c>
      <c r="C66" s="13">
        <v>62150.0000</v>
      </c>
      <c r="D66" s="13">
        <v>0</v>
      </c>
      <c r="E66" s="13">
        <v>10850.0000</v>
      </c>
      <c r="F66" s="13">
        <v>200.0000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19000.0000</v>
      </c>
      <c r="M66" s="13">
        <v>567200.0000</v>
      </c>
      <c r="N66" s="13">
        <v>664200.0000</v>
      </c>
    </row>
    <row r="67" ht="10.95" customHeight="true" customFormat="true" s="9">
      <c r="A67" s="12" t="s">
        <v>73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2782.6000</v>
      </c>
      <c r="K67" s="13">
        <v>0</v>
      </c>
      <c r="L67" s="13">
        <v>0</v>
      </c>
      <c r="M67" s="13">
        <v>4715.0000</v>
      </c>
      <c r="N67" s="13">
        <v>7497.6000</v>
      </c>
    </row>
    <row r="68" ht="10.95" customHeight="true" customFormat="true" s="9">
      <c r="A68" s="12" t="s">
        <v>74</v>
      </c>
      <c r="B68" s="13">
        <v>0</v>
      </c>
      <c r="C68" s="13">
        <v>0</v>
      </c>
      <c r="D68" s="13">
        <v>3956.9200</v>
      </c>
      <c r="E68" s="13">
        <v>1534.0000</v>
      </c>
      <c r="F68" s="13">
        <v>0</v>
      </c>
      <c r="G68" s="13">
        <v>1000.0000</v>
      </c>
      <c r="H68" s="13">
        <v>0</v>
      </c>
      <c r="I68" s="13">
        <v>0</v>
      </c>
      <c r="J68" s="13">
        <v>0</v>
      </c>
      <c r="K68" s="13">
        <v>1450.0000</v>
      </c>
      <c r="L68" s="13">
        <v>2834.0000</v>
      </c>
      <c r="M68" s="13">
        <v>0</v>
      </c>
      <c r="N68" s="13">
        <v>10774.9200</v>
      </c>
    </row>
    <row r="69" ht="10.95" customHeight="true" customFormat="true" s="9">
      <c r="A69" s="12" t="s">
        <v>75</v>
      </c>
      <c r="B69" s="13">
        <v>0</v>
      </c>
      <c r="C69" s="13">
        <v>4970.0000</v>
      </c>
      <c r="D69" s="13">
        <v>2380.0000</v>
      </c>
      <c r="E69" s="13">
        <v>2453.0000</v>
      </c>
      <c r="F69" s="13">
        <v>0</v>
      </c>
      <c r="G69" s="13">
        <v>5000.0000</v>
      </c>
      <c r="H69" s="13">
        <v>0</v>
      </c>
      <c r="I69" s="13">
        <v>0</v>
      </c>
      <c r="J69" s="13">
        <v>1284.0000</v>
      </c>
      <c r="K69" s="13">
        <v>3906.0000</v>
      </c>
      <c r="L69" s="13">
        <v>4033.0000</v>
      </c>
      <c r="M69" s="13">
        <v>1100.0000</v>
      </c>
      <c r="N69" s="13">
        <v>25126.0000</v>
      </c>
    </row>
    <row r="70" ht="10.95" customHeight="true" customFormat="true" s="9">
      <c r="A70" s="12" t="s">
        <v>76</v>
      </c>
      <c r="B70" s="13">
        <v>0</v>
      </c>
      <c r="C70" s="13">
        <v>0</v>
      </c>
      <c r="D70" s="13">
        <v>20099.8700</v>
      </c>
      <c r="E70" s="13">
        <v>0</v>
      </c>
      <c r="F70" s="13">
        <v>255.7900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20355.6600</v>
      </c>
    </row>
    <row r="71" ht="10.95" customHeight="true" customFormat="true" s="9">
      <c r="A71" s="12" t="s">
        <v>77</v>
      </c>
      <c r="B71" s="13">
        <v>10001.4900</v>
      </c>
      <c r="C71" s="13">
        <v>14726.4900</v>
      </c>
      <c r="D71" s="13">
        <v>8592.6900</v>
      </c>
      <c r="E71" s="13">
        <v>8341.4900</v>
      </c>
      <c r="F71" s="13">
        <v>8893.6800</v>
      </c>
      <c r="G71" s="13">
        <v>12078.8500</v>
      </c>
      <c r="H71" s="13">
        <v>12078.8500</v>
      </c>
      <c r="I71" s="13">
        <v>12104.9800</v>
      </c>
      <c r="J71" s="13">
        <v>12104.9800</v>
      </c>
      <c r="K71" s="13">
        <v>12104.9800</v>
      </c>
      <c r="L71" s="13">
        <v>12190.1400</v>
      </c>
      <c r="M71" s="13">
        <v>12132.6700</v>
      </c>
      <c r="N71" s="13">
        <v>135351.2900</v>
      </c>
    </row>
    <row r="72" ht="10.95" customHeight="true" customFormat="true" s="9">
      <c r="A72" s="12" t="s">
        <v>78</v>
      </c>
      <c r="B72" s="13">
        <v>0</v>
      </c>
      <c r="C72" s="13">
        <v>12000.0000</v>
      </c>
      <c r="D72" s="13">
        <v>0</v>
      </c>
      <c r="E72" s="13">
        <v>0</v>
      </c>
      <c r="F72" s="13">
        <v>0</v>
      </c>
      <c r="G72" s="13">
        <v>51000.0000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5000.0000</v>
      </c>
      <c r="N72" s="13">
        <v>68000.0000</v>
      </c>
    </row>
    <row r="73" ht="10.95" customHeight="true" customFormat="true" s="9">
      <c r="A73" s="12" t="s">
        <v>79</v>
      </c>
      <c r="B73" s="13">
        <v>2438.0400</v>
      </c>
      <c r="C73" s="13">
        <v>1334.5500</v>
      </c>
      <c r="D73" s="13">
        <v>98.2400</v>
      </c>
      <c r="E73" s="13">
        <v>1883.1800</v>
      </c>
      <c r="F73" s="13">
        <v>1469.4700</v>
      </c>
      <c r="G73" s="13">
        <v>18.0000</v>
      </c>
      <c r="H73" s="13">
        <v>75.0000</v>
      </c>
      <c r="I73" s="13">
        <v>0</v>
      </c>
      <c r="J73" s="13">
        <v>428.2600</v>
      </c>
      <c r="K73" s="13">
        <v>547.5500</v>
      </c>
      <c r="L73" s="13">
        <v>527.0000</v>
      </c>
      <c r="M73" s="13">
        <v>546.7200</v>
      </c>
      <c r="N73" s="13">
        <v>9366.0100</v>
      </c>
    </row>
    <row r="74" ht="10.95" customHeight="true" customFormat="true" s="9">
      <c r="A74" s="12" t="s">
        <v>80</v>
      </c>
      <c r="B74" s="13">
        <v>60.0000</v>
      </c>
      <c r="C74" s="13">
        <v>1453.0900</v>
      </c>
      <c r="D74" s="13">
        <v>390.0000</v>
      </c>
      <c r="E74" s="13">
        <v>375.0000</v>
      </c>
      <c r="F74" s="13">
        <v>734.0000</v>
      </c>
      <c r="G74" s="13">
        <v>257.0000</v>
      </c>
      <c r="H74" s="13">
        <v>430.0000</v>
      </c>
      <c r="I74" s="13">
        <v>732.3900</v>
      </c>
      <c r="J74" s="13">
        <v>3508.2500</v>
      </c>
      <c r="K74" s="13">
        <v>894.0900</v>
      </c>
      <c r="L74" s="13">
        <v>2304.5700</v>
      </c>
      <c r="M74" s="13">
        <v>694.5600</v>
      </c>
      <c r="N74" s="13">
        <v>11832.9500</v>
      </c>
    </row>
    <row r="75" ht="10.95" customHeight="true" customFormat="true" s="9">
      <c r="A75" s="12" t="s">
        <v>81</v>
      </c>
      <c r="B75" s="13">
        <v>14158.7500</v>
      </c>
      <c r="C75" s="13">
        <v>0</v>
      </c>
      <c r="D75" s="13">
        <v>1100.0000</v>
      </c>
      <c r="E75" s="13">
        <v>1800.0000</v>
      </c>
      <c r="F75" s="13">
        <v>4992.5000</v>
      </c>
      <c r="G75" s="13">
        <v>1955.0000</v>
      </c>
      <c r="H75" s="13">
        <v>500.0000</v>
      </c>
      <c r="I75" s="13">
        <v>0</v>
      </c>
      <c r="J75" s="13">
        <v>0</v>
      </c>
      <c r="K75" s="13">
        <v>0</v>
      </c>
      <c r="L75" s="13">
        <v>0</v>
      </c>
      <c r="M75" s="13">
        <v>2050.0000</v>
      </c>
      <c r="N75" s="13">
        <v>26556.2500</v>
      </c>
    </row>
    <row r="76" ht="10.95" customHeight="true" customFormat="true" s="9">
      <c r="A76" s="12" t="s">
        <v>82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230.0000</v>
      </c>
      <c r="I76" s="13">
        <v>60.0000</v>
      </c>
      <c r="J76" s="13">
        <v>0</v>
      </c>
      <c r="K76" s="13">
        <v>0</v>
      </c>
      <c r="L76" s="13">
        <v>0</v>
      </c>
      <c r="M76" s="13">
        <v>0</v>
      </c>
      <c r="N76" s="13">
        <v>290.0000</v>
      </c>
    </row>
    <row r="77" ht="10.95" customHeight="true" customFormat="true" s="9">
      <c r="A77" s="12" t="s">
        <v>83</v>
      </c>
      <c r="B77" s="13">
        <v>0</v>
      </c>
      <c r="C77" s="13">
        <v>0</v>
      </c>
      <c r="D77" s="13">
        <v>200.0000</v>
      </c>
      <c r="E77" s="13">
        <v>0</v>
      </c>
      <c r="F77" s="13">
        <v>0</v>
      </c>
      <c r="G77" s="13">
        <v>200.0000</v>
      </c>
      <c r="H77" s="13">
        <v>0</v>
      </c>
      <c r="I77" s="13">
        <v>0</v>
      </c>
      <c r="J77" s="13">
        <v>0</v>
      </c>
      <c r="K77" s="13">
        <v>200.0000</v>
      </c>
      <c r="L77" s="13">
        <v>200.0000</v>
      </c>
      <c r="M77" s="13">
        <v>0</v>
      </c>
      <c r="N77" s="13">
        <v>800.0000</v>
      </c>
    </row>
    <row r="78" ht="10.95" customHeight="true" customFormat="true" s="9">
      <c r="A78" s="12" t="s">
        <v>84</v>
      </c>
      <c r="B78" s="13">
        <v>618.1300</v>
      </c>
      <c r="C78" s="13">
        <v>747.0000</v>
      </c>
      <c r="D78" s="13">
        <v>343.5800</v>
      </c>
      <c r="E78" s="13">
        <v>676.7500</v>
      </c>
      <c r="F78" s="13">
        <v>4829.5000</v>
      </c>
      <c r="G78" s="13">
        <v>668.1600</v>
      </c>
      <c r="H78" s="13">
        <v>740.3100</v>
      </c>
      <c r="I78" s="13">
        <v>1185.6400</v>
      </c>
      <c r="J78" s="13">
        <v>218.2500</v>
      </c>
      <c r="K78" s="13">
        <v>1250.7500</v>
      </c>
      <c r="L78" s="13">
        <v>274.1800</v>
      </c>
      <c r="M78" s="13">
        <v>137.1300</v>
      </c>
      <c r="N78" s="13">
        <v>11689.3800</v>
      </c>
    </row>
    <row r="79" ht="10.95" customHeight="true" customFormat="true" s="9">
      <c r="A79" s="12" t="s">
        <v>85</v>
      </c>
      <c r="B79" s="13">
        <v>0</v>
      </c>
      <c r="C79" s="13">
        <v>650.0000</v>
      </c>
      <c r="D79" s="13">
        <v>0</v>
      </c>
      <c r="E79" s="13">
        <v>0</v>
      </c>
      <c r="F79" s="13">
        <v>-196.4500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453.5500</v>
      </c>
    </row>
    <row r="80" ht="10.95" customHeight="true" customFormat="true" s="9">
      <c r="A80" s="12" t="s">
        <v>86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632785.4900</v>
      </c>
      <c r="N80" s="13">
        <v>632785.4900</v>
      </c>
    </row>
    <row r="81" ht="10.95" customHeight="true" customFormat="true" s="9">
      <c r="A81" s="12" t="s">
        <v>87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21217.0000</v>
      </c>
      <c r="N81" s="13">
        <v>21217.0000</v>
      </c>
    </row>
    <row r="82" ht="10.95" customHeight="true" customFormat="true" s="9">
      <c r="A82" s="12" t="s">
        <v>88</v>
      </c>
      <c r="B82" s="13">
        <v>370.8800</v>
      </c>
      <c r="C82" s="13">
        <v>627.5000</v>
      </c>
      <c r="D82" s="13">
        <v>707.9900</v>
      </c>
      <c r="E82" s="13">
        <v>492.5000</v>
      </c>
      <c r="F82" s="13">
        <v>413.0000</v>
      </c>
      <c r="G82" s="13">
        <v>413.0000</v>
      </c>
      <c r="H82" s="13">
        <v>179.0000</v>
      </c>
      <c r="I82" s="13">
        <v>355.0000</v>
      </c>
      <c r="J82" s="13">
        <v>318.5000</v>
      </c>
      <c r="K82" s="13">
        <v>381.0000</v>
      </c>
      <c r="L82" s="13">
        <v>1384.1600</v>
      </c>
      <c r="M82" s="13">
        <v>630.0000</v>
      </c>
      <c r="N82" s="13">
        <v>6272.5300</v>
      </c>
    </row>
    <row r="83" ht="10.95" customHeight="true" customFormat="true" s="9">
      <c r="A83" s="12" t="s">
        <v>89</v>
      </c>
      <c r="B83" s="13">
        <v>0</v>
      </c>
      <c r="C83" s="13">
        <v>348.3500</v>
      </c>
      <c r="D83" s="13">
        <v>0</v>
      </c>
      <c r="E83" s="13">
        <v>95.8000</v>
      </c>
      <c r="F83" s="13">
        <v>856.5000</v>
      </c>
      <c r="G83" s="13">
        <v>0</v>
      </c>
      <c r="H83" s="13">
        <v>0</v>
      </c>
      <c r="I83" s="13">
        <v>623.6500</v>
      </c>
      <c r="J83" s="13">
        <v>450.9500</v>
      </c>
      <c r="K83" s="13">
        <v>155.7000</v>
      </c>
      <c r="L83" s="13">
        <v>1965.0000</v>
      </c>
      <c r="M83" s="13">
        <v>0</v>
      </c>
      <c r="N83" s="13">
        <v>4495.9500</v>
      </c>
    </row>
    <row r="84" ht="10.95" customHeight="true" customFormat="true" s="9">
      <c r="A84" s="12" t="s">
        <v>90</v>
      </c>
      <c r="B84" s="13">
        <v>0</v>
      </c>
      <c r="C84" s="13">
        <v>2600.0000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3218.5300</v>
      </c>
      <c r="K84" s="13">
        <v>0</v>
      </c>
      <c r="L84" s="13">
        <v>0</v>
      </c>
      <c r="M84" s="13">
        <v>0</v>
      </c>
      <c r="N84" s="13">
        <v>5818.5300</v>
      </c>
    </row>
    <row r="85" ht="10.95" customHeight="true" customFormat="true" s="9">
      <c r="A85" s="12" t="s">
        <v>91</v>
      </c>
      <c r="B85" s="13">
        <v>0</v>
      </c>
      <c r="C85" s="13">
        <v>700.0000</v>
      </c>
      <c r="D85" s="13">
        <v>0</v>
      </c>
      <c r="E85" s="13">
        <v>1800.0000</v>
      </c>
      <c r="F85" s="13">
        <v>4921.0000</v>
      </c>
      <c r="G85" s="13">
        <v>0</v>
      </c>
      <c r="H85" s="13">
        <v>0</v>
      </c>
      <c r="I85" s="13">
        <v>0</v>
      </c>
      <c r="J85" s="13">
        <v>1500.0000</v>
      </c>
      <c r="K85" s="13">
        <v>350.0000</v>
      </c>
      <c r="L85" s="13">
        <v>529.6200</v>
      </c>
      <c r="M85" s="13">
        <v>0</v>
      </c>
      <c r="N85" s="13">
        <v>9800.6200</v>
      </c>
    </row>
    <row r="86" ht="10.95" customHeight="true" customFormat="true" s="9">
      <c r="A86" s="12" t="s">
        <v>92</v>
      </c>
      <c r="B86" s="13">
        <v>5999.0000</v>
      </c>
      <c r="C86" s="13">
        <v>7498.0000</v>
      </c>
      <c r="D86" s="13">
        <v>0</v>
      </c>
      <c r="E86" s="13">
        <v>14997.0000</v>
      </c>
      <c r="F86" s="13">
        <v>0</v>
      </c>
      <c r="G86" s="13">
        <v>0</v>
      </c>
      <c r="H86" s="13">
        <v>500.0000</v>
      </c>
      <c r="I86" s="13">
        <v>1597.9900</v>
      </c>
      <c r="J86" s="13">
        <v>0</v>
      </c>
      <c r="K86" s="13">
        <v>4999.0000</v>
      </c>
      <c r="L86" s="13">
        <v>4460.0000</v>
      </c>
      <c r="M86" s="13">
        <v>0</v>
      </c>
      <c r="N86" s="13">
        <v>40050.9900</v>
      </c>
    </row>
    <row r="87" ht="10.95" customHeight="true" customFormat="true" s="9">
      <c r="A87" s="12" t="s">
        <v>93</v>
      </c>
      <c r="B87" s="13">
        <v>3171.1500</v>
      </c>
      <c r="C87" s="13">
        <v>2653.2800</v>
      </c>
      <c r="D87" s="13">
        <v>1925.0800</v>
      </c>
      <c r="E87" s="13">
        <v>1603.6300</v>
      </c>
      <c r="F87" s="13">
        <v>1038.7500</v>
      </c>
      <c r="G87" s="13">
        <v>538.8500</v>
      </c>
      <c r="H87" s="13">
        <v>0</v>
      </c>
      <c r="I87" s="13">
        <v>0</v>
      </c>
      <c r="J87" s="13">
        <v>0</v>
      </c>
      <c r="K87" s="13">
        <v>158792.4300</v>
      </c>
      <c r="L87" s="13">
        <v>104735.4300</v>
      </c>
      <c r="M87" s="13">
        <v>101356.8700</v>
      </c>
      <c r="N87" s="13">
        <v>375815.4700</v>
      </c>
    </row>
    <row r="88" ht="10.95" customHeight="true" customFormat="true" s="9">
      <c r="A88" s="12" t="s">
        <v>94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42000.0000</v>
      </c>
      <c r="N88" s="13">
        <v>42000.0000</v>
      </c>
    </row>
    <row r="89" ht="10.95" customHeight="true" customFormat="true" s="9">
      <c r="A89" s="12" t="s">
        <v>95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147865.3100</v>
      </c>
      <c r="N89" s="13">
        <v>147865.3100</v>
      </c>
    </row>
    <row r="90" ht="10.95" customHeight="true" customFormat="true" s="9">
      <c r="A90" s="12" t="s">
        <v>96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108693.0000</v>
      </c>
      <c r="N90" s="13">
        <v>108693.0000</v>
      </c>
    </row>
    <row r="91" ht="10.95" customHeight="true" customFormat="true" s="9">
      <c r="A91" s="12" t="s">
        <v>97</v>
      </c>
      <c r="B91" s="13">
        <v>1449.1600</v>
      </c>
      <c r="C91" s="13">
        <v>1451.0000</v>
      </c>
      <c r="D91" s="13">
        <v>209.9700</v>
      </c>
      <c r="E91" s="13">
        <v>1910.5000</v>
      </c>
      <c r="F91" s="13">
        <v>200.0000</v>
      </c>
      <c r="G91" s="13">
        <v>0</v>
      </c>
      <c r="H91" s="13">
        <v>200.0000</v>
      </c>
      <c r="I91" s="13">
        <v>430.0000</v>
      </c>
      <c r="J91" s="13">
        <v>115.0000</v>
      </c>
      <c r="K91" s="13">
        <v>230.0000</v>
      </c>
      <c r="L91" s="13">
        <v>1426.8500</v>
      </c>
      <c r="M91" s="13">
        <v>1397.9000</v>
      </c>
      <c r="N91" s="13">
        <v>9020.3800</v>
      </c>
    </row>
    <row r="92" ht="10.95" customHeight="true" customFormat="true" s="9">
      <c r="A92" s="12" t="s">
        <v>98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188560.0000</v>
      </c>
      <c r="K92" s="13">
        <v>1860.0000</v>
      </c>
      <c r="L92" s="13">
        <v>1860.0000</v>
      </c>
      <c r="M92" s="13">
        <v>0</v>
      </c>
      <c r="N92" s="13">
        <v>192280.0000</v>
      </c>
    </row>
    <row r="93" ht="10.95" customHeight="true" customFormat="true" s="9">
      <c r="A93" s="14" t="s">
        <v>99</v>
      </c>
      <c r="B93" s="15">
        <f ca="1">SUM(B65:B92)</f>
        <v>0</v>
      </c>
      <c r="C93" s="15">
        <f ca="1">SUM(C65:C92)</f>
        <v>0</v>
      </c>
      <c r="D93" s="15">
        <f ca="1">SUM(D65:D92)</f>
        <v>0</v>
      </c>
      <c r="E93" s="15">
        <f ca="1">SUM(E65:E92)</f>
        <v>0</v>
      </c>
      <c r="F93" s="15">
        <f ca="1">SUM(F65:F92)</f>
        <v>0</v>
      </c>
      <c r="G93" s="15">
        <f ca="1">SUM(G65:G92)</f>
        <v>0</v>
      </c>
      <c r="H93" s="15">
        <f ca="1">SUM(H65:H92)</f>
        <v>0</v>
      </c>
      <c r="I93" s="15">
        <f ca="1">SUM(I65:I92)</f>
        <v>0</v>
      </c>
      <c r="J93" s="15">
        <f ca="1">SUM(J65:J92)</f>
        <v>0</v>
      </c>
      <c r="K93" s="15">
        <f ca="1">SUM(K65:K92)</f>
        <v>0</v>
      </c>
      <c r="L93" s="15">
        <f ca="1">SUM(L65:L92)</f>
        <v>0</v>
      </c>
      <c r="M93" s="15">
        <f ca="1">SUM(M65:M92)</f>
        <v>0</v>
      </c>
      <c r="N93" s="15">
        <f ca="1">SUM(N65:N92)</f>
        <v>0</v>
      </c>
    </row>
    <row r="94" ht="13.35" customHeight="true"/>
    <row r="95" ht="10.95" customHeight="true" customFormat="true" s="9">
      <c r="A95" s="16" t="s">
        <v>100</v>
      </c>
      <c r="B95" s="17">
        <f ca="1">((B58 + B62) - B93)</f>
        <v>0</v>
      </c>
      <c r="C95" s="17">
        <f ca="1">((C58 + C62) - C93)</f>
        <v>0</v>
      </c>
      <c r="D95" s="17">
        <f ca="1">((D58 + D62) - D93)</f>
        <v>0</v>
      </c>
      <c r="E95" s="17">
        <f ca="1">((E58 + E62) - E93)</f>
        <v>0</v>
      </c>
      <c r="F95" s="17">
        <f ca="1">((F58 + F62) - F93)</f>
        <v>0</v>
      </c>
      <c r="G95" s="17">
        <f ca="1">((G58 + G62) - G93)</f>
        <v>0</v>
      </c>
      <c r="H95" s="17">
        <f ca="1">((H58 + H62) - H93)</f>
        <v>0</v>
      </c>
      <c r="I95" s="17">
        <f ca="1">((I58 + I62) - I93)</f>
        <v>0</v>
      </c>
      <c r="J95" s="17">
        <f ca="1">((J58 + J62) - J93)</f>
        <v>0</v>
      </c>
      <c r="K95" s="17">
        <f ca="1">((K58 + K62) - K93)</f>
        <v>0</v>
      </c>
      <c r="L95" s="17">
        <f ca="1">((L58 + L62) - L93)</f>
        <v>0</v>
      </c>
      <c r="M95" s="17">
        <f ca="1">((M58 + M62) - M93)</f>
        <v>0</v>
      </c>
      <c r="N95" s="17">
        <f ca="1">((N58 + N62) - N93)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