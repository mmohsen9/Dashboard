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lance Sheet" sheetId="1" r:id="rId1"/>
  </sheets>
  <calcPr calcId="162913"/>
</workbook>
</file>

<file path=xl/sharedStrings.xml><?xml version="1.0" encoding="utf-8"?>
<sst xmlns="http://schemas.openxmlformats.org/spreadsheetml/2006/main" count="96" uniqueCount="96">
  <si>
    <t>Balance Sheet</t>
  </si>
  <si>
    <t>شركة الكوب الاول</t>
  </si>
  <si>
    <t>As at 31 December 2025</t>
  </si>
  <si>
    <t>Account</t>
  </si>
  <si>
    <t>31 Dec 2025</t>
  </si>
  <si>
    <t>31 Dec 2024</t>
  </si>
  <si>
    <t>Assets</t>
  </si>
  <si>
    <t>Bank</t>
  </si>
  <si>
    <t>102 - الكاش النقدي/ cash</t>
  </si>
  <si>
    <t xml:space="preserve">115 - Order  موقع اوردر  </t>
  </si>
  <si>
    <t>Total Bank</t>
  </si>
  <si>
    <t>Current Assets</t>
  </si>
  <si>
    <t>108 - بنك الراجحى 81322</t>
  </si>
  <si>
    <t>109 - بنك الراجحى 429931</t>
  </si>
  <si>
    <t>110 - (بنك الراجحى 779925 (نقاط بيع</t>
  </si>
  <si>
    <t>112 - بنك الرياض 2351965519940</t>
  </si>
  <si>
    <t>114 - بطاقات ائتمانية للشركة</t>
  </si>
  <si>
    <t>121 - عهدة تميم التركى(للخزينة)</t>
  </si>
  <si>
    <t>122 - عهدة مالك التركى للمصروفات</t>
  </si>
  <si>
    <t>123 - عهده احمد المشجرى للمصروفات</t>
  </si>
  <si>
    <t>126 - عهدة نورة المقرن للمصروفات</t>
  </si>
  <si>
    <t>130 - عهدة عبدالله (ابوجابر)المشجرى</t>
  </si>
  <si>
    <t>150 - ذمم الموظفين - دانيال بوتيستا فجاردو</t>
  </si>
  <si>
    <t>151 - ذمم موظفين- احمد المشجرى</t>
  </si>
  <si>
    <t>152 - ذمم موظفين- مكرم حسين (مونا)</t>
  </si>
  <si>
    <t>157 - تميم التركى/ذمم موظفين</t>
  </si>
  <si>
    <t>160 - ذمم موظفين/ محمد باسلوم</t>
  </si>
  <si>
    <t>162 - ذمم موظفين / شاهد علم</t>
  </si>
  <si>
    <t>164 - ذمم موظفين/ محمد دغيش</t>
  </si>
  <si>
    <t>166 - ذمم موظفين/ عبدالله حسن</t>
  </si>
  <si>
    <t>170 - ذمم الموظفين انس خان سيد جان</t>
  </si>
  <si>
    <t>609 - مخصص ديون مشكوك بتحصيلها</t>
  </si>
  <si>
    <t>610 - العملاء/Accounts Receivable</t>
  </si>
  <si>
    <t>611 - متجر موقع سلة</t>
  </si>
  <si>
    <t>612 - متجر موقع جاهز</t>
  </si>
  <si>
    <t>613 - متجر موقع شيفز</t>
  </si>
  <si>
    <t>614 - عملاء اجل فرع التخصصى</t>
  </si>
  <si>
    <t>615 - موقع متجر N.GO</t>
  </si>
  <si>
    <t>616 - عملاء مستشفى الصحافة العيادات</t>
  </si>
  <si>
    <t>631 - مخزون - فودكس/Inventory Foodics</t>
  </si>
  <si>
    <t>635 - مخزون البن الاخضر</t>
  </si>
  <si>
    <t>636 - مخزون البن المحمص</t>
  </si>
  <si>
    <t>Total Current Assets</t>
  </si>
  <si>
    <t>Fixed Assets</t>
  </si>
  <si>
    <t>710 - الالات والمعدات /machines and equipments</t>
  </si>
  <si>
    <t>711 - مجمع اهلاك الالات والمعدات / Less Accumulated Depreciation onmachines and  equipments</t>
  </si>
  <si>
    <t>712 - أجهزة كهربائية والكترونية /Electrical devices</t>
  </si>
  <si>
    <t>713 - مجمع اهلاك الأجهزة الكهربائية والكترونية /Less Accumulated Depreciation on electrical devices</t>
  </si>
  <si>
    <t>714 - تحسينات على مبانى مستأجرة مستودع النرجس</t>
  </si>
  <si>
    <t>715 - مخصص اهلاك تحسينات مبانى مستأجرة النرجس</t>
  </si>
  <si>
    <t>716 - تحسينات على مبانى مستأجرة فرع التخصصى</t>
  </si>
  <si>
    <t>717 - مخصص اهلاك تحسينات على مبانى مستأجرة فرع التخصصى</t>
  </si>
  <si>
    <t>719 - مشروع تحت التنفيذ- فرع الصحافة</t>
  </si>
  <si>
    <t>720 - تحسينات على مبانى مستاجرة مستودع السلى</t>
  </si>
  <si>
    <t>721 - مجمع أهلاك تحسينات على مبانى مستاجرة مستودع السلى</t>
  </si>
  <si>
    <t>722 - تحسينات وديكورات/Improvements and decorations</t>
  </si>
  <si>
    <t>723 - مجمع أطفاء التحسينات والديكورات/Less Accumulated Depreciation onImprovements and decorations</t>
  </si>
  <si>
    <t>724 - أثاث ومفروشات/furniture</t>
  </si>
  <si>
    <t>725 - مجمع أهلاك الأثاث والمفروشات/Less Accumulated Depreciation on furniture</t>
  </si>
  <si>
    <t>726 - السيارات/ Cars</t>
  </si>
  <si>
    <t>727 - مجمع أهلاك السيارات/Less Accumulated Depreciation on Cars</t>
  </si>
  <si>
    <t>728 - الاراضى</t>
  </si>
  <si>
    <t>Total Fixed Assets</t>
  </si>
  <si>
    <t>Non-current Assets</t>
  </si>
  <si>
    <t>550 - مصروفات مدفوعه مقدما (ايجارات)</t>
  </si>
  <si>
    <t>551 - خطابات الضمانا البنكى</t>
  </si>
  <si>
    <t>Total Non-current Assets</t>
  </si>
  <si>
    <t>Total Assets</t>
  </si>
  <si>
    <t>Liabilities</t>
  </si>
  <si>
    <t>Current Liabilities</t>
  </si>
  <si>
    <t>106 - Jahez Integration Payment Meth/جاهز</t>
  </si>
  <si>
    <t>800 - الموردون/Accounts Payable</t>
  </si>
  <si>
    <t>820 - ضريبة القيمة المضافة/VAT</t>
  </si>
  <si>
    <t>823 - عمولات ومكافأت مستحقة</t>
  </si>
  <si>
    <t>825 - مصروفات مستحقة أخرى/Other accrued expenses</t>
  </si>
  <si>
    <t>826 - مخصص نهاية الخدمة/Superannuation Payable</t>
  </si>
  <si>
    <t>828 - شركة عبدالجبار وعبدالمحسن الحبيب (رفا)</t>
  </si>
  <si>
    <t>829 - شركة رفاء الاولى</t>
  </si>
  <si>
    <t>830 - مكتب عبدالجبار للعقارات</t>
  </si>
  <si>
    <t>860 - فروقات صرف وهللات/Rounding</t>
  </si>
  <si>
    <t>Total Current Liabilities</t>
  </si>
  <si>
    <t>Non-current Liabilities</t>
  </si>
  <si>
    <t>822 - ضريبة الزكاة والدخل المستحقة</t>
  </si>
  <si>
    <t>900 - قروض طويلة الأجل/Long-term Loans</t>
  </si>
  <si>
    <t>Total Non-current Liabilities</t>
  </si>
  <si>
    <t>Total Liabilities</t>
  </si>
  <si>
    <t>Net Assets</t>
  </si>
  <si>
    <t>Equity</t>
  </si>
  <si>
    <t>960 - رأس المال ماجد الحبيب/ Capital</t>
  </si>
  <si>
    <t>961 - رأس المال مالك التركى</t>
  </si>
  <si>
    <t>962 - احتياطى نظامى</t>
  </si>
  <si>
    <t>964 - الأرباح (الخسائر) المبقاه/Retained Earnings</t>
  </si>
  <si>
    <t>965 - جارى مالك التركى</t>
  </si>
  <si>
    <t>966 - جارى ماجد الحبيب</t>
  </si>
  <si>
    <t>Current Year Earnings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</si>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</sst>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vertical="center"/>
    </xf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6" fillId="0" borderId="0" xfId="0" applyFont="true" applyAlignment="true">
      <alignment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9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.3671875" customWidth="1"/>
    <col min="2" max="2" width="100" customWidth="1"/>
    <col min="3" max="4" width="14.33203125" customWidth="1"/>
  </cols>
  <sheetData>
    <row r="1" ht="16.7" customHeight="true" customFormat="true" s="1">
      <c r="A1" s="2" t="s">
        <v>0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2</v>
      </c>
      <c r="B3" s="4"/>
      <c r="C3" s="4"/>
      <c r="D3" s="4"/>
    </row>
    <row r="4" ht="13.35" customHeight="true"/>
    <row r="5" ht="12.1" customHeight="true" customFormat="true" s="5">
      <c r="A5" s="6"/>
      <c r="B5" s="7" t="s">
        <v>3</v>
      </c>
      <c r="C5" s="8" t="s">
        <v>4</v>
      </c>
      <c r="D5" s="8" t="s">
        <v>5</v>
      </c>
    </row>
    <row r="6" ht="13.35" customHeight="true"/>
    <row r="7" ht="12.1" customHeight="true" customFormat="true" s="5">
      <c r="A7" s="6" t="s">
        <v>6</v>
      </c>
      <c r="B7" s="6"/>
      <c r="C7" s="6"/>
      <c r="D7" s="6"/>
    </row>
    <row r="8" ht="10.95" customHeight="true" customFormat="true" s="9">
      <c r="A8" s="10"/>
      <c r="B8" s="10" t="s">
        <v>7</v>
      </c>
      <c r="C8" s="10"/>
      <c r="D8" s="10"/>
    </row>
    <row r="9" ht="10.95" customHeight="true" customFormat="true" s="9">
      <c r="B9" s="11" t="s">
        <v>8</v>
      </c>
      <c r="C9" s="12">
        <v>2500.0000</v>
      </c>
      <c r="D9" s="12">
        <v>2000.0000</v>
      </c>
    </row>
    <row r="10" ht="10.95" customHeight="true" customFormat="true" s="9">
      <c r="B10" s="11" t="s">
        <v>9</v>
      </c>
      <c r="C10" s="12">
        <v>0</v>
      </c>
      <c r="D10" s="12">
        <v>13.0000</v>
      </c>
    </row>
    <row r="11" ht="10.95" customHeight="true" customFormat="true" s="9">
      <c r="B11" s="13" t="s">
        <v>10</v>
      </c>
      <c r="C11" s="14">
        <f ca="1">SUM(C9:C10)</f>
        <v>0</v>
      </c>
      <c r="D11" s="14">
        <f ca="1">SUM(D9:D10)</f>
        <v>0</v>
      </c>
    </row>
    <row r="12" ht="10.95" customHeight="true" customFormat="true" s="9">
      <c r="A12" s="10"/>
      <c r="B12" s="10" t="s">
        <v>11</v>
      </c>
      <c r="C12" s="10"/>
      <c r="D12" s="10"/>
    </row>
    <row r="13" ht="10.95" customHeight="true" customFormat="true" s="9">
      <c r="B13" s="11" t="s">
        <v>12</v>
      </c>
      <c r="C13" s="12">
        <v>55019.1600</v>
      </c>
      <c r="D13" s="12">
        <v>191374.1300</v>
      </c>
    </row>
    <row r="14" ht="10.95" customHeight="true" customFormat="true" s="9">
      <c r="B14" s="11" t="s">
        <v>13</v>
      </c>
      <c r="C14" s="12">
        <v>170566.6300</v>
      </c>
      <c r="D14" s="12">
        <v>154235.3000</v>
      </c>
    </row>
    <row r="15" ht="10.95" customHeight="true" customFormat="true" s="9">
      <c r="B15" s="11" t="s">
        <v>14</v>
      </c>
      <c r="C15" s="12">
        <v>729779.3000</v>
      </c>
      <c r="D15" s="12">
        <v>202870.0800</v>
      </c>
    </row>
    <row r="16" ht="10.95" customHeight="true" customFormat="true" s="9">
      <c r="B16" s="11" t="s">
        <v>15</v>
      </c>
      <c r="C16" s="12">
        <v>8546.9500</v>
      </c>
      <c r="D16" s="12">
        <v>19804.7000</v>
      </c>
    </row>
    <row r="17" ht="10.95" customHeight="true" customFormat="true" s="9">
      <c r="B17" s="11" t="s">
        <v>16</v>
      </c>
      <c r="C17" s="12">
        <v>10000.0000</v>
      </c>
      <c r="D17" s="12">
        <v>10000.0000</v>
      </c>
    </row>
    <row r="18" ht="10.95" customHeight="true" customFormat="true" s="9">
      <c r="B18" s="11" t="s">
        <v>17</v>
      </c>
      <c r="C18" s="12">
        <v>38732.1700</v>
      </c>
      <c r="D18" s="12">
        <v>1248.4000</v>
      </c>
    </row>
    <row r="19" ht="10.95" customHeight="true" customFormat="true" s="9">
      <c r="B19" s="11" t="s">
        <v>18</v>
      </c>
      <c r="C19" s="12">
        <v>-2340.5600</v>
      </c>
      <c r="D19" s="12">
        <v>-2340.5600</v>
      </c>
    </row>
    <row r="20" ht="10.95" customHeight="true" customFormat="true" s="9">
      <c r="B20" s="11" t="s">
        <v>19</v>
      </c>
      <c r="C20" s="12">
        <v>14589.7900</v>
      </c>
      <c r="D20" s="12">
        <v>10345.5900</v>
      </c>
    </row>
    <row r="21" ht="10.95" customHeight="true" customFormat="true" s="9">
      <c r="B21" s="11" t="s">
        <v>20</v>
      </c>
      <c r="C21" s="12">
        <v>-40.5800</v>
      </c>
      <c r="D21" s="12">
        <v>0</v>
      </c>
    </row>
    <row r="22" ht="10.95" customHeight="true" customFormat="true" s="9">
      <c r="B22" s="11" t="s">
        <v>21</v>
      </c>
      <c r="C22" s="12">
        <v>6003.8400</v>
      </c>
      <c r="D22" s="12">
        <v>524.4500</v>
      </c>
    </row>
    <row r="23" ht="10.95" customHeight="true" customFormat="true" s="9">
      <c r="B23" s="11" t="s">
        <v>22</v>
      </c>
      <c r="C23" s="12">
        <v>5000.0000</v>
      </c>
      <c r="D23" s="12">
        <v>0</v>
      </c>
    </row>
    <row r="24" ht="10.95" customHeight="true" customFormat="true" s="9">
      <c r="B24" s="11" t="s">
        <v>23</v>
      </c>
      <c r="C24" s="12">
        <v>23175.0000</v>
      </c>
      <c r="D24" s="12">
        <v>40100.0000</v>
      </c>
    </row>
    <row r="25" ht="10.95" customHeight="true" customFormat="true" s="9">
      <c r="B25" s="11" t="s">
        <v>24</v>
      </c>
      <c r="C25" s="12">
        <v>2000.0000</v>
      </c>
      <c r="D25" s="12">
        <v>0</v>
      </c>
    </row>
    <row r="26" ht="10.95" customHeight="true" customFormat="true" s="9">
      <c r="B26" s="11" t="s">
        <v>25</v>
      </c>
      <c r="C26" s="12">
        <v>52746.4000</v>
      </c>
      <c r="D26" s="12">
        <v>53864.4000</v>
      </c>
    </row>
    <row r="27" ht="10.95" customHeight="true" customFormat="true" s="9">
      <c r="B27" s="11" t="s">
        <v>26</v>
      </c>
      <c r="C27" s="12">
        <v>3976.9600</v>
      </c>
      <c r="D27" s="12">
        <v>5075.0000</v>
      </c>
    </row>
    <row r="28" ht="10.95" customHeight="true" customFormat="true" s="9">
      <c r="B28" s="11" t="s">
        <v>27</v>
      </c>
      <c r="C28" s="12">
        <v>17150.0000</v>
      </c>
      <c r="D28" s="12">
        <v>0</v>
      </c>
    </row>
    <row r="29" ht="10.95" customHeight="true" customFormat="true" s="9">
      <c r="B29" s="11" t="s">
        <v>28</v>
      </c>
      <c r="C29" s="12">
        <v>10596.1500</v>
      </c>
      <c r="D29" s="12">
        <v>0</v>
      </c>
    </row>
    <row r="30" ht="10.95" customHeight="true" customFormat="true" s="9">
      <c r="B30" s="11" t="s">
        <v>29</v>
      </c>
      <c r="C30" s="12">
        <v>9800.0000</v>
      </c>
      <c r="D30" s="12">
        <v>0</v>
      </c>
    </row>
    <row r="31" ht="10.95" customHeight="true" customFormat="true" s="9">
      <c r="B31" s="11" t="s">
        <v>30</v>
      </c>
      <c r="C31" s="12">
        <v>1000.0000</v>
      </c>
      <c r="D31" s="12">
        <v>0</v>
      </c>
    </row>
    <row r="32" ht="10.95" customHeight="true" customFormat="true" s="9">
      <c r="B32" s="11" t="s">
        <v>31</v>
      </c>
      <c r="C32" s="12">
        <v>-31050.0000</v>
      </c>
      <c r="D32" s="12">
        <v>-9833.0000</v>
      </c>
    </row>
    <row r="33" ht="10.95" customHeight="true" customFormat="true" s="9">
      <c r="B33" s="11" t="s">
        <v>32</v>
      </c>
      <c r="C33" s="12">
        <v>155325.8800</v>
      </c>
      <c r="D33" s="12">
        <v>189586.8300</v>
      </c>
    </row>
    <row r="34" ht="10.95" customHeight="true" customFormat="true" s="9">
      <c r="B34" s="11" t="s">
        <v>33</v>
      </c>
      <c r="C34" s="12">
        <v>2769.2700</v>
      </c>
      <c r="D34" s="12">
        <v>1017.6100</v>
      </c>
    </row>
    <row r="35" ht="10.95" customHeight="true" customFormat="true" s="9">
      <c r="B35" s="11" t="s">
        <v>34</v>
      </c>
      <c r="C35" s="12">
        <v>3068.0000</v>
      </c>
      <c r="D35" s="12">
        <v>281.2100</v>
      </c>
    </row>
    <row r="36" ht="10.95" customHeight="true" customFormat="true" s="9">
      <c r="B36" s="11" t="s">
        <v>35</v>
      </c>
      <c r="C36" s="12">
        <v>680.8200</v>
      </c>
      <c r="D36" s="12">
        <v>1016.6000</v>
      </c>
    </row>
    <row r="37" ht="10.95" customHeight="true" customFormat="true" s="9">
      <c r="B37" s="11" t="s">
        <v>36</v>
      </c>
      <c r="C37" s="12">
        <v>918.3000</v>
      </c>
      <c r="D37" s="12">
        <v>1600.3000</v>
      </c>
    </row>
    <row r="38" ht="10.95" customHeight="true" customFormat="true" s="9">
      <c r="B38" s="11" t="s">
        <v>37</v>
      </c>
      <c r="C38" s="12">
        <v>9853.7300</v>
      </c>
      <c r="D38" s="12">
        <v>9853.7300</v>
      </c>
    </row>
    <row r="39" ht="10.95" customHeight="true" customFormat="true" s="9">
      <c r="B39" s="11" t="s">
        <v>38</v>
      </c>
      <c r="C39" s="12">
        <v>9920.0000</v>
      </c>
      <c r="D39" s="12">
        <v>0</v>
      </c>
    </row>
    <row r="40" ht="10.95" customHeight="true" customFormat="true" s="9">
      <c r="B40" s="11" t="s">
        <v>39</v>
      </c>
      <c r="C40" s="12">
        <v>346593.6600</v>
      </c>
      <c r="D40" s="12">
        <v>134460.9500</v>
      </c>
    </row>
    <row r="41" ht="10.95" customHeight="true" customFormat="true" s="9">
      <c r="B41" s="11" t="s">
        <v>40</v>
      </c>
      <c r="C41" s="12">
        <v>2901818.1500</v>
      </c>
      <c r="D41" s="12">
        <v>1893568.4600</v>
      </c>
    </row>
    <row r="42" ht="10.95" customHeight="true" customFormat="true" s="9">
      <c r="B42" s="11" t="s">
        <v>41</v>
      </c>
      <c r="C42" s="12">
        <v>44269.0200</v>
      </c>
      <c r="D42" s="12">
        <v>61583.2900</v>
      </c>
    </row>
    <row r="43" ht="10.95" customHeight="true" customFormat="true" s="9">
      <c r="B43" s="13" t="s">
        <v>42</v>
      </c>
      <c r="C43" s="14">
        <f ca="1">SUM(C13:C42)</f>
        <v>0</v>
      </c>
      <c r="D43" s="14">
        <f ca="1">SUM(D13:D42)</f>
        <v>0</v>
      </c>
    </row>
    <row r="44" ht="10.95" customHeight="true" customFormat="true" s="9">
      <c r="A44" s="10"/>
      <c r="B44" s="10" t="s">
        <v>43</v>
      </c>
      <c r="C44" s="10"/>
      <c r="D44" s="10"/>
    </row>
    <row r="45" ht="10.95" customHeight="true" customFormat="true" s="9">
      <c r="B45" s="11" t="s">
        <v>44</v>
      </c>
      <c r="C45" s="12">
        <v>1582685.5900</v>
      </c>
      <c r="D45" s="12">
        <v>1270776.4800</v>
      </c>
    </row>
    <row r="46" ht="10.95" customHeight="true" customFormat="true" s="9">
      <c r="B46" s="11" t="s">
        <v>45</v>
      </c>
      <c r="C46" s="12">
        <v>-1087908.3800</v>
      </c>
      <c r="D46" s="12">
        <v>-936235.0600</v>
      </c>
    </row>
    <row r="47" ht="10.95" customHeight="true" customFormat="true" s="9">
      <c r="B47" s="11" t="s">
        <v>46</v>
      </c>
      <c r="C47" s="12">
        <v>632788.2800</v>
      </c>
      <c r="D47" s="12">
        <v>421707.4700</v>
      </c>
    </row>
    <row r="48" ht="10.95" customHeight="true" customFormat="true" s="9">
      <c r="B48" s="11" t="s">
        <v>47</v>
      </c>
      <c r="C48" s="12">
        <v>-376030.6000</v>
      </c>
      <c r="D48" s="12">
        <v>-301195.1800</v>
      </c>
    </row>
    <row r="49" ht="10.95" customHeight="true" customFormat="true" s="9">
      <c r="B49" s="11" t="s">
        <v>48</v>
      </c>
      <c r="C49" s="12">
        <v>80501.7900</v>
      </c>
      <c r="D49" s="12">
        <v>80501.7900</v>
      </c>
    </row>
    <row r="50" ht="10.95" customHeight="true" customFormat="true" s="9">
      <c r="B50" s="11" t="s">
        <v>49</v>
      </c>
      <c r="C50" s="12">
        <v>-80500.7900</v>
      </c>
      <c r="D50" s="12">
        <v>-80500.7900</v>
      </c>
    </row>
    <row r="51" ht="10.95" customHeight="true" customFormat="true" s="9">
      <c r="B51" s="11" t="s">
        <v>50</v>
      </c>
      <c r="C51" s="12">
        <v>120531.0000</v>
      </c>
      <c r="D51" s="12">
        <v>120531.0000</v>
      </c>
    </row>
    <row r="52" ht="10.95" customHeight="true" customFormat="true" s="9">
      <c r="B52" s="11" t="s">
        <v>51</v>
      </c>
      <c r="C52" s="12">
        <v>-147453.1700</v>
      </c>
      <c r="D52" s="12">
        <v>-119325.6900</v>
      </c>
    </row>
    <row r="53" ht="10.95" customHeight="true" customFormat="true" s="9">
      <c r="B53" s="11" t="s">
        <v>52</v>
      </c>
      <c r="C53" s="12">
        <v>0</v>
      </c>
      <c r="D53" s="12">
        <v>382184.7100</v>
      </c>
    </row>
    <row r="54" ht="10.95" customHeight="true" customFormat="true" s="9">
      <c r="B54" s="11" t="s">
        <v>53</v>
      </c>
      <c r="C54" s="12">
        <v>35346.0900</v>
      </c>
      <c r="D54" s="12">
        <v>35346.0900</v>
      </c>
    </row>
    <row r="55" ht="10.95" customHeight="true" customFormat="true" s="9">
      <c r="B55" s="11" t="s">
        <v>54</v>
      </c>
      <c r="C55" s="12">
        <v>-35345.0900</v>
      </c>
      <c r="D55" s="12">
        <v>-29767.4100</v>
      </c>
    </row>
    <row r="56" ht="10.95" customHeight="true" customFormat="true" s="9">
      <c r="B56" s="11" t="s">
        <v>55</v>
      </c>
      <c r="C56" s="12">
        <v>2239628.4900</v>
      </c>
      <c r="D56" s="12">
        <v>993617.7700</v>
      </c>
    </row>
    <row r="57" ht="10.95" customHeight="true" customFormat="true" s="9">
      <c r="B57" s="11" t="s">
        <v>56</v>
      </c>
      <c r="C57" s="12">
        <v>-484533.1500</v>
      </c>
      <c r="D57" s="12">
        <v>-190609.8300</v>
      </c>
    </row>
    <row r="58" ht="10.95" customHeight="true" customFormat="true" s="9">
      <c r="B58" s="11" t="s">
        <v>57</v>
      </c>
      <c r="C58" s="12">
        <v>546480.1700</v>
      </c>
      <c r="D58" s="12">
        <v>434173.1400</v>
      </c>
    </row>
    <row r="59" ht="10.95" customHeight="true" customFormat="true" s="9">
      <c r="B59" s="11" t="s">
        <v>58</v>
      </c>
      <c r="C59" s="12">
        <v>-175603.2700</v>
      </c>
      <c r="D59" s="12">
        <v>-123024.6500</v>
      </c>
    </row>
    <row r="60" ht="10.95" customHeight="true" customFormat="true" s="9">
      <c r="B60" s="11" t="s">
        <v>59</v>
      </c>
      <c r="C60" s="12">
        <v>123728.2600</v>
      </c>
      <c r="D60" s="12">
        <v>40250.0000</v>
      </c>
    </row>
    <row r="61" ht="10.95" customHeight="true" customFormat="true" s="9">
      <c r="B61" s="11" t="s">
        <v>60</v>
      </c>
      <c r="C61" s="12">
        <v>-59611.3200</v>
      </c>
      <c r="D61" s="12">
        <v>-33541.6700</v>
      </c>
    </row>
    <row r="62" ht="10.95" customHeight="true" customFormat="true" s="9">
      <c r="B62" s="11" t="s">
        <v>61</v>
      </c>
      <c r="C62" s="12">
        <v>10417600.0000</v>
      </c>
      <c r="D62" s="12">
        <v>0</v>
      </c>
    </row>
    <row r="63" ht="10.95" customHeight="true" customFormat="true" s="9">
      <c r="B63" s="13" t="s">
        <v>62</v>
      </c>
      <c r="C63" s="14">
        <f ca="1">SUM(C45:C62)</f>
        <v>0</v>
      </c>
      <c r="D63" s="14">
        <f ca="1">SUM(D45:D62)</f>
        <v>0</v>
      </c>
    </row>
    <row r="64" ht="10.95" customHeight="true" customFormat="true" s="9">
      <c r="A64" s="10"/>
      <c r="B64" s="10" t="s">
        <v>63</v>
      </c>
      <c r="C64" s="10"/>
      <c r="D64" s="10"/>
    </row>
    <row r="65" ht="10.95" customHeight="true" customFormat="true" s="9">
      <c r="B65" s="11" t="s">
        <v>64</v>
      </c>
      <c r="C65" s="12">
        <v>96944.0000</v>
      </c>
      <c r="D65" s="12">
        <v>96975.3400</v>
      </c>
    </row>
    <row r="66" ht="10.95" customHeight="true" customFormat="true" s="9">
      <c r="B66" s="11" t="s">
        <v>65</v>
      </c>
      <c r="C66" s="12">
        <v>26392.5000</v>
      </c>
      <c r="D66" s="12">
        <v>0</v>
      </c>
    </row>
    <row r="67" ht="10.95" customHeight="true" customFormat="true" s="9">
      <c r="B67" s="13" t="s">
        <v>66</v>
      </c>
      <c r="C67" s="14">
        <f ca="1">SUM(C65:C66)</f>
        <v>0</v>
      </c>
      <c r="D67" s="14">
        <f ca="1">SUM(D65:D66)</f>
        <v>0</v>
      </c>
    </row>
    <row r="68" ht="10.95" customHeight="true" customFormat="true" s="9">
      <c r="A68" s="13" t="s">
        <v>67</v>
      </c>
      <c r="C68" s="14">
        <f ca="1">(0 + (((C11 + C43) + C63) + C67))</f>
        <v>0</v>
      </c>
      <c r="D68" s="14">
        <f ca="1">(0 + (((D11 + D43) + D63) + D67))</f>
        <v>0</v>
      </c>
    </row>
    <row r="69" ht="13.35" customHeight="true"/>
    <row r="70" ht="12.1" customHeight="true" customFormat="true" s="5">
      <c r="A70" s="6" t="s">
        <v>68</v>
      </c>
      <c r="B70" s="6"/>
      <c r="C70" s="6"/>
      <c r="D70" s="6"/>
    </row>
    <row r="71" ht="10.95" customHeight="true" customFormat="true" s="9">
      <c r="A71" s="10"/>
      <c r="B71" s="10" t="s">
        <v>69</v>
      </c>
      <c r="C71" s="10"/>
      <c r="D71" s="10"/>
    </row>
    <row r="72" ht="10.95" customHeight="true" customFormat="true" s="9">
      <c r="B72" s="11" t="s">
        <v>70</v>
      </c>
      <c r="C72" s="12">
        <v>0.2900</v>
      </c>
      <c r="D72" s="12">
        <v>0</v>
      </c>
    </row>
    <row r="73" ht="10.95" customHeight="true" customFormat="true" s="9">
      <c r="B73" s="11" t="s">
        <v>71</v>
      </c>
      <c r="C73" s="12">
        <v>298985.9000</v>
      </c>
      <c r="D73" s="12">
        <v>-376242.3300</v>
      </c>
    </row>
    <row r="74" ht="10.95" customHeight="true" customFormat="true" s="9">
      <c r="B74" s="11" t="s">
        <v>72</v>
      </c>
      <c r="C74" s="12">
        <v>466413.6300</v>
      </c>
      <c r="D74" s="12">
        <v>268851.4100</v>
      </c>
    </row>
    <row r="75" ht="10.95" customHeight="true" customFormat="true" s="9">
      <c r="B75" s="11" t="s">
        <v>73</v>
      </c>
      <c r="C75" s="12">
        <v>467000.0000</v>
      </c>
      <c r="D75" s="12">
        <v>298090.0000</v>
      </c>
    </row>
    <row r="76" ht="10.95" customHeight="true" customFormat="true" s="9">
      <c r="B76" s="11" t="s">
        <v>74</v>
      </c>
      <c r="C76" s="12">
        <v>0</v>
      </c>
      <c r="D76" s="12">
        <v>16000.0000</v>
      </c>
    </row>
    <row r="77" ht="10.95" customHeight="true" customFormat="true" s="9">
      <c r="B77" s="11" t="s">
        <v>75</v>
      </c>
      <c r="C77" s="12">
        <v>287971.0000</v>
      </c>
      <c r="D77" s="12">
        <v>197067.0000</v>
      </c>
    </row>
    <row r="78" ht="10.95" customHeight="true" customFormat="true" s="9">
      <c r="B78" s="11" t="s">
        <v>76</v>
      </c>
      <c r="C78" s="12">
        <v>-191330.2700</v>
      </c>
      <c r="D78" s="12">
        <v>2236432.2300</v>
      </c>
    </row>
    <row r="79" ht="10.95" customHeight="true" customFormat="true" s="9">
      <c r="B79" s="11" t="s">
        <v>77</v>
      </c>
      <c r="C79" s="12">
        <v>-3249851.8400</v>
      </c>
      <c r="D79" s="12">
        <v>-3250875.0000</v>
      </c>
    </row>
    <row r="80" ht="10.95" customHeight="true" customFormat="true" s="9">
      <c r="B80" s="11" t="s">
        <v>78</v>
      </c>
      <c r="C80" s="12">
        <v>-20913.6600</v>
      </c>
      <c r="D80" s="12">
        <v>-20913.6600</v>
      </c>
    </row>
    <row r="81" ht="10.95" customHeight="true" customFormat="true" s="9">
      <c r="B81" s="11" t="s">
        <v>79</v>
      </c>
      <c r="C81" s="12">
        <v>-3.0100</v>
      </c>
      <c r="D81" s="12">
        <v>0</v>
      </c>
    </row>
    <row r="82" ht="10.95" customHeight="true" customFormat="true" s="9">
      <c r="B82" s="13" t="s">
        <v>80</v>
      </c>
      <c r="C82" s="14">
        <f ca="1">SUM(C72:C81)</f>
        <v>0</v>
      </c>
      <c r="D82" s="14">
        <f ca="1">SUM(D72:D81)</f>
        <v>0</v>
      </c>
    </row>
    <row r="83" ht="10.95" customHeight="true" customFormat="true" s="9">
      <c r="A83" s="10"/>
      <c r="B83" s="10" t="s">
        <v>81</v>
      </c>
      <c r="C83" s="10"/>
      <c r="D83" s="10"/>
    </row>
    <row r="84" ht="10.95" customHeight="true" customFormat="true" s="9">
      <c r="B84" s="11" t="s">
        <v>82</v>
      </c>
      <c r="C84" s="12">
        <v>147865.3100</v>
      </c>
      <c r="D84" s="12">
        <v>85529.0300</v>
      </c>
    </row>
    <row r="85" ht="10.95" customHeight="true" customFormat="true" s="9">
      <c r="B85" s="11" t="s">
        <v>83</v>
      </c>
      <c r="C85" s="12">
        <v>9085000.0000</v>
      </c>
      <c r="D85" s="12">
        <v>401201.7700</v>
      </c>
    </row>
    <row r="86" ht="10.95" customHeight="true" customFormat="true" s="9">
      <c r="B86" s="13" t="s">
        <v>84</v>
      </c>
      <c r="C86" s="14">
        <f ca="1">SUM(C84:C85)</f>
        <v>0</v>
      </c>
      <c r="D86" s="14">
        <f ca="1">SUM(D84:D85)</f>
        <v>0</v>
      </c>
    </row>
    <row r="87" ht="10.95" customHeight="true" customFormat="true" s="9">
      <c r="A87" s="13" t="s">
        <v>85</v>
      </c>
      <c r="C87" s="14">
        <f ca="1">(0 + (C82 + C86))</f>
        <v>0</v>
      </c>
      <c r="D87" s="14">
        <f ca="1">(0 + (D82 + D86))</f>
        <v>0</v>
      </c>
    </row>
    <row r="88" ht="13.35" customHeight="true"/>
    <row r="89" ht="10.95" customHeight="true" customFormat="true" s="9">
      <c r="B89" s="15" t="s">
        <v>86</v>
      </c>
      <c r="C89" s="16">
        <f ca="1">(C68 - C87)</f>
        <v>0</v>
      </c>
      <c r="D89" s="16">
        <f ca="1">(D68 - D87)</f>
        <v>0</v>
      </c>
    </row>
    <row r="90" ht="13.35" customHeight="true"/>
    <row r="91" ht="12.1" customHeight="true" customFormat="true" s="5">
      <c r="A91" s="6" t="s">
        <v>87</v>
      </c>
      <c r="B91" s="6"/>
      <c r="C91" s="6"/>
      <c r="D91" s="6"/>
    </row>
    <row r="92" ht="10.95" customHeight="true" customFormat="true" s="9">
      <c r="B92" s="17" t="s">
        <v>88</v>
      </c>
      <c r="C92" s="18">
        <v>350000.0000</v>
      </c>
      <c r="D92" s="18">
        <v>350000.0000</v>
      </c>
    </row>
    <row r="93" ht="10.95" customHeight="true" customFormat="true" s="9">
      <c r="B93" s="11" t="s">
        <v>89</v>
      </c>
      <c r="C93" s="12">
        <v>150000.0000</v>
      </c>
      <c r="D93" s="12">
        <v>150000.0000</v>
      </c>
    </row>
    <row r="94" ht="10.95" customHeight="true" customFormat="true" s="9">
      <c r="B94" s="11" t="s">
        <v>90</v>
      </c>
      <c r="C94" s="12">
        <v>100156.0000</v>
      </c>
      <c r="D94" s="12">
        <v>100156.0000</v>
      </c>
    </row>
    <row r="95" ht="10.95" customHeight="true" customFormat="true" s="9">
      <c r="B95" s="11" t="s">
        <v>91</v>
      </c>
      <c r="C95" s="12">
        <v>2623308.8900</v>
      </c>
      <c r="D95" s="12">
        <v>689749.4800</v>
      </c>
    </row>
    <row r="96" ht="10.95" customHeight="true" customFormat="true" s="9">
      <c r="B96" s="11" t="s">
        <v>92</v>
      </c>
      <c r="C96" s="12">
        <v>611006.9000</v>
      </c>
      <c r="D96" s="12">
        <v>611006.9000</v>
      </c>
    </row>
    <row r="97" ht="10.95" customHeight="true" customFormat="true" s="9">
      <c r="B97" s="11" t="s">
        <v>93</v>
      </c>
      <c r="C97" s="12">
        <v>1344501.7400</v>
      </c>
      <c r="D97" s="12">
        <v>1344501.7400</v>
      </c>
    </row>
    <row r="98" ht="10.95" customHeight="true" customFormat="true" s="9">
      <c r="B98" s="11" t="s">
        <v>94</v>
      </c>
      <c r="C98" s="12">
        <v>5588497.5600</v>
      </c>
      <c r="D98" s="12">
        <v>1933559.4100</v>
      </c>
    </row>
    <row r="99" ht="10.95" customHeight="true" customFormat="true" s="9">
      <c r="A99" s="13" t="s">
        <v>95</v>
      </c>
      <c r="C99" s="14">
        <f ca="1">SUM(C92:C98)</f>
        <v>0</v>
      </c>
      <c r="D99" s="14">
        <f ca="1">SUM(D92:D98)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